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anw\Desktop\UiPath\Drafting Engagement Letter\Data\"/>
    </mc:Choice>
  </mc:AlternateContent>
  <xr:revisionPtr revIDLastSave="0" documentId="13_ncr:1_{8773B2ED-0581-407A-81AE-17DE4C2AD642}" xr6:coauthVersionLast="44" xr6:coauthVersionMax="44" xr10:uidLastSave="{00000000-0000-0000-0000-000000000000}"/>
  <bookViews>
    <workbookView xWindow="-108" yWindow="-108" windowWidth="23256" windowHeight="12576" tabRatio="836" xr2:uid="{00000000-000D-0000-FFFF-FFFF00000000}"/>
  </bookViews>
  <sheets>
    <sheet name="Admin" sheetId="5" r:id="rId1"/>
    <sheet name="Normal_Engagement Letter" sheetId="6" r:id="rId2"/>
    <sheet name="Special_Engagement Letter" sheetId="2" r:id="rId3"/>
    <sheet name="Engagement Team" sheetId="1" r:id="rId4"/>
    <sheet name="Currencies" sheetId="3" r:id="rId5"/>
  </sheets>
  <definedNames>
    <definedName name="_xlnm._FilterDatabase" localSheetId="4" hidden="1">Currencies!$B$2:$B$181</definedName>
    <definedName name="_xlnm._FilterDatabase" localSheetId="3" hidden="1">'Engagement Team'!$C$1:$G$1</definedName>
    <definedName name="DropDownCurrencies">Currencies!#REF!:INDEX(Currencies!#REF!,COUNTIF(Currencies!#REF!,"?*"))</definedName>
    <definedName name="_xlnm.Print_Area" localSheetId="3">'Engagement Team'!$A$1:$G$53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11" i="6" l="1"/>
  <c r="U11" i="6"/>
  <c r="T11" i="6"/>
  <c r="S11" i="6"/>
  <c r="Q11" i="6"/>
  <c r="P11" i="6"/>
  <c r="O11" i="6"/>
  <c r="N11" i="6"/>
  <c r="V10" i="6"/>
  <c r="U10" i="6"/>
  <c r="T10" i="6"/>
  <c r="S10" i="6"/>
  <c r="Q10" i="6"/>
  <c r="P10" i="6"/>
  <c r="O10" i="6"/>
  <c r="N10" i="6"/>
  <c r="V9" i="6"/>
  <c r="U9" i="6"/>
  <c r="T9" i="6"/>
  <c r="S9" i="6"/>
  <c r="Q9" i="6"/>
  <c r="P9" i="6"/>
  <c r="O9" i="6"/>
  <c r="N9" i="6"/>
  <c r="V8" i="6"/>
  <c r="U8" i="6"/>
  <c r="T8" i="6"/>
  <c r="S8" i="6"/>
  <c r="Q8" i="6"/>
  <c r="P8" i="6"/>
  <c r="O8" i="6"/>
  <c r="N8" i="6"/>
  <c r="V7" i="6"/>
  <c r="U7" i="6"/>
  <c r="T7" i="6"/>
  <c r="S7" i="6"/>
  <c r="Q7" i="6"/>
  <c r="P7" i="6"/>
  <c r="O7" i="6"/>
  <c r="N7" i="6"/>
  <c r="V6" i="6"/>
  <c r="U6" i="6"/>
  <c r="T6" i="6"/>
  <c r="S6" i="6"/>
  <c r="Q6" i="6"/>
  <c r="P6" i="6"/>
  <c r="O6" i="6"/>
  <c r="N6" i="6"/>
  <c r="V5" i="6"/>
  <c r="U5" i="6"/>
  <c r="T5" i="6"/>
  <c r="S5" i="6"/>
  <c r="Q5" i="6"/>
  <c r="P5" i="6"/>
  <c r="O5" i="6"/>
  <c r="N5" i="6"/>
  <c r="V4" i="6"/>
  <c r="U4" i="6"/>
  <c r="T4" i="6"/>
  <c r="S4" i="6"/>
  <c r="Q4" i="6"/>
  <c r="P4" i="6"/>
  <c r="O4" i="6"/>
  <c r="N4" i="6"/>
  <c r="V3" i="6"/>
  <c r="U3" i="6"/>
  <c r="T3" i="6"/>
  <c r="S3" i="6"/>
  <c r="Q3" i="6"/>
  <c r="P3" i="6"/>
  <c r="O3" i="6"/>
  <c r="N3" i="6"/>
  <c r="V2" i="6"/>
  <c r="U2" i="6"/>
  <c r="T2" i="6"/>
  <c r="S2" i="6"/>
  <c r="Q2" i="6"/>
  <c r="P2" i="6"/>
  <c r="O2" i="6"/>
  <c r="N2" i="6"/>
  <c r="V5" i="2" l="1"/>
  <c r="N2" i="2"/>
  <c r="O2" i="2"/>
  <c r="P2" i="2"/>
  <c r="Q2" i="2"/>
  <c r="S2" i="2"/>
  <c r="T2" i="2"/>
  <c r="U2" i="2"/>
  <c r="N3" i="2"/>
  <c r="O3" i="2"/>
  <c r="P3" i="2"/>
  <c r="Q3" i="2"/>
  <c r="S3" i="2"/>
  <c r="T3" i="2"/>
  <c r="U3" i="2"/>
  <c r="N4" i="2"/>
  <c r="O4" i="2"/>
  <c r="P4" i="2"/>
  <c r="Q4" i="2"/>
  <c r="S4" i="2"/>
  <c r="T4" i="2"/>
  <c r="U4" i="2"/>
  <c r="N5" i="2"/>
  <c r="O5" i="2"/>
  <c r="P5" i="2"/>
  <c r="Q5" i="2"/>
  <c r="S5" i="2"/>
  <c r="T5" i="2"/>
  <c r="U5" i="2"/>
  <c r="N6" i="2"/>
  <c r="O6" i="2"/>
  <c r="P6" i="2"/>
  <c r="Q6" i="2"/>
  <c r="S6" i="2"/>
  <c r="T6" i="2"/>
  <c r="U6" i="2"/>
  <c r="N7" i="2"/>
  <c r="O7" i="2"/>
  <c r="P7" i="2"/>
  <c r="Q7" i="2"/>
  <c r="S7" i="2"/>
  <c r="T7" i="2"/>
  <c r="U7" i="2"/>
  <c r="N8" i="2"/>
  <c r="O8" i="2"/>
  <c r="P8" i="2"/>
  <c r="Q8" i="2"/>
  <c r="S8" i="2"/>
  <c r="T8" i="2"/>
  <c r="U8" i="2"/>
  <c r="N9" i="2"/>
  <c r="O9" i="2"/>
  <c r="P9" i="2"/>
  <c r="Q9" i="2"/>
  <c r="S9" i="2"/>
  <c r="T9" i="2"/>
  <c r="U9" i="2"/>
  <c r="N10" i="2"/>
  <c r="O10" i="2"/>
  <c r="P10" i="2"/>
  <c r="Q10" i="2"/>
  <c r="S10" i="2"/>
  <c r="T10" i="2"/>
  <c r="U10" i="2"/>
  <c r="N11" i="2"/>
  <c r="O11" i="2"/>
  <c r="P11" i="2"/>
  <c r="Q11" i="2"/>
  <c r="S11" i="2"/>
  <c r="T11" i="2"/>
  <c r="U11" i="2"/>
  <c r="V3" i="2"/>
  <c r="V4" i="2"/>
  <c r="V6" i="2"/>
  <c r="V7" i="2"/>
  <c r="V8" i="2"/>
  <c r="V9" i="2"/>
  <c r="V10" i="2"/>
  <c r="V11" i="2"/>
  <c r="V2" i="2"/>
</calcChain>
</file>

<file path=xl/sharedStrings.xml><?xml version="1.0" encoding="utf-8"?>
<sst xmlns="http://schemas.openxmlformats.org/spreadsheetml/2006/main" count="670" uniqueCount="455">
  <si>
    <t>Name</t>
  </si>
  <si>
    <t xml:space="preserve">Initials </t>
  </si>
  <si>
    <t>Code</t>
  </si>
  <si>
    <t>Rank</t>
  </si>
  <si>
    <t>Phone</t>
  </si>
  <si>
    <t>Email</t>
  </si>
  <si>
    <t>Partner</t>
  </si>
  <si>
    <t>Director</t>
  </si>
  <si>
    <t>Senior Manager</t>
  </si>
  <si>
    <t>Manager</t>
  </si>
  <si>
    <t>Senior Consultant</t>
  </si>
  <si>
    <t>Consultant</t>
  </si>
  <si>
    <t>Associate</t>
  </si>
  <si>
    <t>Associate Partner</t>
  </si>
  <si>
    <t>Associate Director</t>
  </si>
  <si>
    <t>Fee</t>
  </si>
  <si>
    <t>Engagement details</t>
  </si>
  <si>
    <t>Hint</t>
  </si>
  <si>
    <t>Currency</t>
  </si>
  <si>
    <t>SGD</t>
  </si>
  <si>
    <t>ABC Pte. Ltd.</t>
  </si>
  <si>
    <t>Alphabetic Code</t>
  </si>
  <si>
    <t>AFN</t>
  </si>
  <si>
    <t>EUR</t>
  </si>
  <si>
    <t>ALL</t>
  </si>
  <si>
    <t>DZD</t>
  </si>
  <si>
    <t>USD</t>
  </si>
  <si>
    <t>AOA</t>
  </si>
  <si>
    <t>XCD</t>
  </si>
  <si>
    <t>ARS</t>
  </si>
  <si>
    <t>AMD</t>
  </si>
  <si>
    <t>AWG</t>
  </si>
  <si>
    <t>AUD</t>
  </si>
  <si>
    <t>AZN</t>
  </si>
  <si>
    <t>BSD</t>
  </si>
  <si>
    <t>BHD</t>
  </si>
  <si>
    <t>BDT</t>
  </si>
  <si>
    <t>BBD</t>
  </si>
  <si>
    <t>BYN</t>
  </si>
  <si>
    <t>BZD</t>
  </si>
  <si>
    <t>XOF</t>
  </si>
  <si>
    <t>BMD</t>
  </si>
  <si>
    <t>INR</t>
  </si>
  <si>
    <t>BTN</t>
  </si>
  <si>
    <t>BOB</t>
  </si>
  <si>
    <t>BOV</t>
  </si>
  <si>
    <t>BAM</t>
  </si>
  <si>
    <t>BWP</t>
  </si>
  <si>
    <t>NOK</t>
  </si>
  <si>
    <t>BRL</t>
  </si>
  <si>
    <t>BND</t>
  </si>
  <si>
    <t>BGN</t>
  </si>
  <si>
    <t>BIF</t>
  </si>
  <si>
    <t>CVE</t>
  </si>
  <si>
    <t>KHR</t>
  </si>
  <si>
    <t>XAF</t>
  </si>
  <si>
    <t>CAD</t>
  </si>
  <si>
    <t>KYD</t>
  </si>
  <si>
    <t>CLP</t>
  </si>
  <si>
    <t>CLF</t>
  </si>
  <si>
    <t>CNY</t>
  </si>
  <si>
    <t>COP</t>
  </si>
  <si>
    <t>COU</t>
  </si>
  <si>
    <t>KMF</t>
  </si>
  <si>
    <t>CDF</t>
  </si>
  <si>
    <t>NZD</t>
  </si>
  <si>
    <t>CRC</t>
  </si>
  <si>
    <t>HRK</t>
  </si>
  <si>
    <t>CUP</t>
  </si>
  <si>
    <t>CUC</t>
  </si>
  <si>
    <t>ANG</t>
  </si>
  <si>
    <t>CZK</t>
  </si>
  <si>
    <t>DKK</t>
  </si>
  <si>
    <t>DJF</t>
  </si>
  <si>
    <t>DOP</t>
  </si>
  <si>
    <t>EGP</t>
  </si>
  <si>
    <t>SVC</t>
  </si>
  <si>
    <t>ERN</t>
  </si>
  <si>
    <t>ETB</t>
  </si>
  <si>
    <t>FKP</t>
  </si>
  <si>
    <t>FJD</t>
  </si>
  <si>
    <t>XPF</t>
  </si>
  <si>
    <t>GMD</t>
  </si>
  <si>
    <t>GEL</t>
  </si>
  <si>
    <t>GHS</t>
  </si>
  <si>
    <t>GIP</t>
  </si>
  <si>
    <t>GTQ</t>
  </si>
  <si>
    <t>GBP</t>
  </si>
  <si>
    <t>GNF</t>
  </si>
  <si>
    <t>GYD</t>
  </si>
  <si>
    <t>HTG</t>
  </si>
  <si>
    <t>HNL</t>
  </si>
  <si>
    <t>HKD</t>
  </si>
  <si>
    <t>HUF</t>
  </si>
  <si>
    <t>ISK</t>
  </si>
  <si>
    <t>IDR</t>
  </si>
  <si>
    <t>XDR</t>
  </si>
  <si>
    <t>IRR</t>
  </si>
  <si>
    <t>IQD</t>
  </si>
  <si>
    <t>ILS</t>
  </si>
  <si>
    <t>JMD</t>
  </si>
  <si>
    <t>JPY</t>
  </si>
  <si>
    <t>JOD</t>
  </si>
  <si>
    <t>KZT</t>
  </si>
  <si>
    <t>KES</t>
  </si>
  <si>
    <t>KPW</t>
  </si>
  <si>
    <t>KRW</t>
  </si>
  <si>
    <t>KWD</t>
  </si>
  <si>
    <t>KGS</t>
  </si>
  <si>
    <t>LAK</t>
  </si>
  <si>
    <t>LBP</t>
  </si>
  <si>
    <t>LSL</t>
  </si>
  <si>
    <t>ZAR</t>
  </si>
  <si>
    <t>LRD</t>
  </si>
  <si>
    <t>LYD</t>
  </si>
  <si>
    <t>CHF</t>
  </si>
  <si>
    <t>MOP</t>
  </si>
  <si>
    <t>MKD</t>
  </si>
  <si>
    <t>MGA</t>
  </si>
  <si>
    <t>MWK</t>
  </si>
  <si>
    <t>MYR</t>
  </si>
  <si>
    <t>MVR</t>
  </si>
  <si>
    <t>MRU</t>
  </si>
  <si>
    <t>MUR</t>
  </si>
  <si>
    <t>XUA</t>
  </si>
  <si>
    <t>MXN</t>
  </si>
  <si>
    <t>MXV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</si>
  <si>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</si>
  <si>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</si>
  <si>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</si>
  <si>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</si>
  <si>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</si>
  <si>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</si>
  <si>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</si>
  <si>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</si>
  <si>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</si>
  <si>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OMR</t>
  </si>
  <si>
    <t>PKR</t>
  </si>
  <si>
    <t>PAB</t>
  </si>
  <si>
    <t>PGK</t>
  </si>
  <si>
    <t>PYG</t>
  </si>
  <si>
    <t>PEN</t>
  </si>
  <si>
    <t>PHP</t>
  </si>
  <si>
    <t>PLN</t>
  </si>
  <si>
    <t>QAR</t>
  </si>
  <si>
    <t>RON</t>
  </si>
  <si>
    <t>RUB</t>
  </si>
  <si>
    <t>RWF</t>
  </si>
  <si>
    <t>SHP</t>
  </si>
  <si>
    <t>WST</t>
  </si>
  <si>
    <t>STN</t>
  </si>
  <si>
    <t>SAR</t>
  </si>
  <si>
    <t>RSD</t>
  </si>
  <si>
    <t>SCR</t>
  </si>
  <si>
    <t>SLL</t>
  </si>
  <si>
    <t>XSU</t>
  </si>
  <si>
    <t>SBD</t>
  </si>
  <si>
    <t>SOS</t>
  </si>
  <si>
    <t>SSP</t>
  </si>
  <si>
    <t>LKR</t>
  </si>
  <si>
    <t>SDG</t>
  </si>
  <si>
    <t>SRD</t>
  </si>
  <si>
    <t>SZL</t>
  </si>
  <si>
    <t>SEK</t>
  </si>
  <si>
    <t>CHE</t>
  </si>
  <si>
    <t>CHW</t>
  </si>
  <si>
    <t>SYP</t>
  </si>
  <si>
    <t>TWD</t>
  </si>
  <si>
    <t>TJS</t>
  </si>
  <si>
    <t>TZS</t>
  </si>
  <si>
    <t>THB</t>
  </si>
  <si>
    <t>TOP</t>
  </si>
  <si>
    <t>TTD</t>
  </si>
  <si>
    <t>TND</t>
  </si>
  <si>
    <t>TRY</t>
  </si>
  <si>
    <t>TMT</t>
  </si>
  <si>
    <t>UGX</t>
  </si>
  <si>
    <t>UAH</t>
  </si>
  <si>
    <t>AED</t>
  </si>
  <si>
    <t>USN</t>
  </si>
  <si>
    <t>UYU</t>
  </si>
  <si>
    <t>UYI</t>
  </si>
  <si>
    <t>UYW</t>
  </si>
  <si>
    <t>UZS</t>
  </si>
  <si>
    <t>VUV</t>
  </si>
  <si>
    <t>VES</t>
  </si>
  <si>
    <t>VND</t>
  </si>
  <si>
    <t>YER</t>
  </si>
  <si>
    <t>ZMW</t>
  </si>
  <si>
    <t>ZWL</t>
  </si>
  <si>
    <t>XBA</t>
  </si>
  <si>
    <t>XBB</t>
  </si>
  <si>
    <t>XBC</t>
  </si>
  <si>
    <t>XBD</t>
  </si>
  <si>
    <t>XTS</t>
  </si>
  <si>
    <t>XXX</t>
  </si>
  <si>
    <t>XAU</t>
  </si>
  <si>
    <t>XPD</t>
  </si>
  <si>
    <t>XPT</t>
  </si>
  <si>
    <t>XAG</t>
  </si>
  <si>
    <t>ABPL</t>
  </si>
  <si>
    <t>Blk 123</t>
  </si>
  <si>
    <t>Panda Street</t>
  </si>
  <si>
    <t>#01-123</t>
  </si>
  <si>
    <t>Client Details</t>
  </si>
  <si>
    <t>Panda</t>
  </si>
  <si>
    <t>Details</t>
  </si>
  <si>
    <t>Mr / Ms</t>
  </si>
  <si>
    <t>Panda Heng</t>
  </si>
  <si>
    <t>61309 1234</t>
  </si>
  <si>
    <t>Panda@hotmail.com</t>
  </si>
  <si>
    <t>Engagement Team</t>
  </si>
  <si>
    <t>RAINE</t>
  </si>
  <si>
    <t>Gender</t>
  </si>
  <si>
    <t>Mr</t>
  </si>
  <si>
    <t>Date_of_EL</t>
  </si>
  <si>
    <t>Client_Name</t>
  </si>
  <si>
    <t>Address2</t>
  </si>
  <si>
    <t>Address1</t>
  </si>
  <si>
    <t>Address3</t>
  </si>
  <si>
    <t>Postal_Code</t>
  </si>
  <si>
    <t>EP_Initial</t>
  </si>
  <si>
    <t>EP_Gender</t>
  </si>
  <si>
    <t>EP_Name</t>
  </si>
  <si>
    <t>EP_Phone</t>
  </si>
  <si>
    <t>EP_Email</t>
  </si>
  <si>
    <t>EM_Initial</t>
  </si>
  <si>
    <t>EM_Gender</t>
  </si>
  <si>
    <t>EM_Name</t>
  </si>
  <si>
    <t>EM_Phone</t>
  </si>
  <si>
    <t>EM_Email</t>
  </si>
  <si>
    <t>Attention_To</t>
  </si>
  <si>
    <t>Client_Abbrev</t>
  </si>
  <si>
    <t>6999 1234</t>
  </si>
  <si>
    <t>7000 1234</t>
  </si>
  <si>
    <t>7001 1234</t>
  </si>
  <si>
    <t>7002 1234</t>
  </si>
  <si>
    <t>7003 1234</t>
  </si>
  <si>
    <t>7004 1234</t>
  </si>
  <si>
    <t>7005 1234</t>
  </si>
  <si>
    <t>7006 1234</t>
  </si>
  <si>
    <t>7007 1234</t>
  </si>
  <si>
    <t>7008 1234</t>
  </si>
  <si>
    <t>7009 1234</t>
  </si>
  <si>
    <t>7010 1234</t>
  </si>
  <si>
    <t>7011 1234</t>
  </si>
  <si>
    <t>7012 1234</t>
  </si>
  <si>
    <t>7013 1234</t>
  </si>
  <si>
    <t>7014 1234</t>
  </si>
  <si>
    <t>7015 1234</t>
  </si>
  <si>
    <t>7016 1234</t>
  </si>
  <si>
    <t>7017 1234</t>
  </si>
  <si>
    <t>7018 1234</t>
  </si>
  <si>
    <t>7019 1234</t>
  </si>
  <si>
    <t>7020 1234</t>
  </si>
  <si>
    <t>7021 1234</t>
  </si>
  <si>
    <t>7022 1234</t>
  </si>
  <si>
    <t>7023 1234</t>
  </si>
  <si>
    <t>7024 1234</t>
  </si>
  <si>
    <t>7025 1234</t>
  </si>
  <si>
    <t>7026 1234</t>
  </si>
  <si>
    <t>7027 1234</t>
  </si>
  <si>
    <t>7028 1234</t>
  </si>
  <si>
    <t>7029 1234</t>
  </si>
  <si>
    <t>7030 1234</t>
  </si>
  <si>
    <t>7031 1234</t>
  </si>
  <si>
    <t>7032 1234</t>
  </si>
  <si>
    <t>7033 1234</t>
  </si>
  <si>
    <t>7034 1234</t>
  </si>
  <si>
    <t>7035 1234</t>
  </si>
  <si>
    <t>7036 1234</t>
  </si>
  <si>
    <t>7037 1234</t>
  </si>
  <si>
    <t>7038 1234</t>
  </si>
  <si>
    <t>7039 1234</t>
  </si>
  <si>
    <t>7040 1234</t>
  </si>
  <si>
    <t>7041 1234</t>
  </si>
  <si>
    <t>7042 1234</t>
  </si>
  <si>
    <t>7043 1234</t>
  </si>
  <si>
    <t>7044 1234</t>
  </si>
  <si>
    <t>7045 1234</t>
  </si>
  <si>
    <t>7046 1234</t>
  </si>
  <si>
    <t>7047 1234</t>
  </si>
  <si>
    <t>7048 1234</t>
  </si>
  <si>
    <t>7049 1234</t>
  </si>
  <si>
    <t>7050 1234</t>
  </si>
  <si>
    <t>Panda1</t>
  </si>
  <si>
    <t>Panda2</t>
  </si>
  <si>
    <t>Panda3</t>
  </si>
  <si>
    <t>Panda4</t>
  </si>
  <si>
    <t>Panda5</t>
  </si>
  <si>
    <t>P1</t>
  </si>
  <si>
    <t>Panda6</t>
  </si>
  <si>
    <t>Panda7</t>
  </si>
  <si>
    <t>Panda8</t>
  </si>
  <si>
    <t>Panda9</t>
  </si>
  <si>
    <t>Panda10</t>
  </si>
  <si>
    <t>Panda11</t>
  </si>
  <si>
    <t>Panda12</t>
  </si>
  <si>
    <t>Panda13</t>
  </si>
  <si>
    <t>Panda14</t>
  </si>
  <si>
    <t>Panda15</t>
  </si>
  <si>
    <t>Panda16</t>
  </si>
  <si>
    <t>Panda17</t>
  </si>
  <si>
    <t>Panda18</t>
  </si>
  <si>
    <t>Panda19</t>
  </si>
  <si>
    <t>Panda20</t>
  </si>
  <si>
    <t>Panda21</t>
  </si>
  <si>
    <t>Panda22</t>
  </si>
  <si>
    <t>Panda23</t>
  </si>
  <si>
    <t>Panda24</t>
  </si>
  <si>
    <t>Panda25</t>
  </si>
  <si>
    <t>Panda26</t>
  </si>
  <si>
    <t>Panda27</t>
  </si>
  <si>
    <t>Panda28</t>
  </si>
  <si>
    <t>Panda29</t>
  </si>
  <si>
    <t>Panda30</t>
  </si>
  <si>
    <t>Panda31</t>
  </si>
  <si>
    <t>Panda32</t>
  </si>
  <si>
    <t>Panda33</t>
  </si>
  <si>
    <t>Panda34</t>
  </si>
  <si>
    <t>Panda35</t>
  </si>
  <si>
    <t>Panda36</t>
  </si>
  <si>
    <t>Panda37</t>
  </si>
  <si>
    <t>Panda38</t>
  </si>
  <si>
    <t>Panda39</t>
  </si>
  <si>
    <t>Panda40</t>
  </si>
  <si>
    <t>Panda41</t>
  </si>
  <si>
    <t>Panda42</t>
  </si>
  <si>
    <t>Panda43</t>
  </si>
  <si>
    <t>Panda44</t>
  </si>
  <si>
    <t>Panda45</t>
  </si>
  <si>
    <t>Panda46</t>
  </si>
  <si>
    <t>Panda47</t>
  </si>
  <si>
    <t>Panda48</t>
  </si>
  <si>
    <t>Panda49</t>
  </si>
  <si>
    <t>Panda50</t>
  </si>
  <si>
    <t>Panda51</t>
  </si>
  <si>
    <t>Panda52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</si>
  <si>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</si>
  <si>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</si>
  <si>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</si>
  <si>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</si>
  <si>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</si>
  <si>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</si>
  <si>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</si>
  <si>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</si>
  <si>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</si>
  <si>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</si>
  <si>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</si>
  <si>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</si>
  <si>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</si>
  <si>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</si>
  <si>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</si>
  <si>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</si>
  <si>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</si>
  <si>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</si>
  <si>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</si>
  <si>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</si>
  <si>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</si>
  <si>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</si>
  <si>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</si>
  <si>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</si>
  <si>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</si>
  <si>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</si>
  <si>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</si>
  <si>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</si>
  <si>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</si>
  <si>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</si>
  <si>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</si>
  <si>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</si>
  <si>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</si>
  <si>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</si>
  <si>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</si>
  <si>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</si>
  <si>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</si>
  <si>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</si>
  <si>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</si>
  <si>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</si>
  <si>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</si>
  <si>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</si>
  <si>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</si>
  <si>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</si>
  <si>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</si>
  <si>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</si>
  <si>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</si>
  <si>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</si>
  <si>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</si>
  <si>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</si>
  <si>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</si>
  <si>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Panda.P1@hotmail.com</t>
  </si>
  <si>
    <t>Panda.P2@hotmail.com</t>
  </si>
  <si>
    <t>Panda.P3@hotmail.com</t>
  </si>
  <si>
    <t>Panda.P4@hotmail.com</t>
  </si>
  <si>
    <t>Panda.P5@hotmail.com</t>
  </si>
  <si>
    <t>Panda.P6@hotmail.com</t>
  </si>
  <si>
    <t>Panda.P7@hotmail.com</t>
  </si>
  <si>
    <t>Panda.P8@hotmail.com</t>
  </si>
  <si>
    <t>Panda.P9@hotmail.com</t>
  </si>
  <si>
    <t>Panda.P10@hotmail.com</t>
  </si>
  <si>
    <t>Panda.P11@hotmail.com</t>
  </si>
  <si>
    <t>Panda.P12@hotmail.com</t>
  </si>
  <si>
    <t>Panda.P13@hotmail.com</t>
  </si>
  <si>
    <t>Panda.P14@hotmail.com</t>
  </si>
  <si>
    <t>Panda.P15@hotmail.com</t>
  </si>
  <si>
    <t>Panda.P16@hotmail.com</t>
  </si>
  <si>
    <t>Panda.P17@hotmail.com</t>
  </si>
  <si>
    <t>Panda.P18@hotmail.com</t>
  </si>
  <si>
    <t>Panda.P19@hotmail.com</t>
  </si>
  <si>
    <t>Panda.P20@hotmail.com</t>
  </si>
  <si>
    <t>Panda.P21@hotmail.com</t>
  </si>
  <si>
    <t>Panda.P22@hotmail.com</t>
  </si>
  <si>
    <t>Panda.P23@hotmail.com</t>
  </si>
  <si>
    <t>Panda.P24@hotmail.com</t>
  </si>
  <si>
    <t>Panda.P25@hotmail.com</t>
  </si>
  <si>
    <t>Panda.P26@hotmail.com</t>
  </si>
  <si>
    <t>Panda.P27@hotmail.com</t>
  </si>
  <si>
    <t>Panda.P28@hotmail.com</t>
  </si>
  <si>
    <t>Panda.P29@hotmail.com</t>
  </si>
  <si>
    <t>Panda.P30@hotmail.com</t>
  </si>
  <si>
    <t>Panda.P31@hotmail.com</t>
  </si>
  <si>
    <t>Panda.P32@hotmail.com</t>
  </si>
  <si>
    <t>Panda.P33@hotmail.com</t>
  </si>
  <si>
    <t>Panda.P34@hotmail.com</t>
  </si>
  <si>
    <t>Panda.P35@hotmail.com</t>
  </si>
  <si>
    <t>Panda.P36@hotmail.com</t>
  </si>
  <si>
    <t>Panda.P37@hotmail.com</t>
  </si>
  <si>
    <t>Panda.P38@hotmail.com</t>
  </si>
  <si>
    <t>Panda.P39@hotmail.com</t>
  </si>
  <si>
    <t>Panda.P40@hotmail.com</t>
  </si>
  <si>
    <t>Panda.P41@hotmail.com</t>
  </si>
  <si>
    <t>Panda.P42@hotmail.com</t>
  </si>
  <si>
    <t>Panda.P43@hotmail.com</t>
  </si>
  <si>
    <t>Panda.P44@hotmail.com</t>
  </si>
  <si>
    <t>Panda.P45@hotmail.com</t>
  </si>
  <si>
    <t>Panda.P46@hotmail.com</t>
  </si>
  <si>
    <t>Panda.P47@hotmail.com</t>
  </si>
  <si>
    <t>Panda.P48@hotmail.com</t>
  </si>
  <si>
    <t>Panda.P49@hotmail.com</t>
  </si>
  <si>
    <t>Panda.P50@hotmail.com</t>
  </si>
  <si>
    <t>Panda.P51@hotmail.com</t>
  </si>
  <si>
    <t>Panda.P52@hotmail.com</t>
  </si>
  <si>
    <t>Mrs</t>
  </si>
  <si>
    <t>Special Date</t>
  </si>
  <si>
    <t>INSTRUCTIONS FOR CONFIG FILE</t>
  </si>
  <si>
    <t>Purpose</t>
  </si>
  <si>
    <t>How To Use</t>
  </si>
  <si>
    <t>i</t>
  </si>
  <si>
    <t>ii</t>
  </si>
  <si>
    <t>Data input here will be used to generate the Engagement Letters</t>
  </si>
  <si>
    <t>Create 1 new worksheet for every unique template that you have (ensure that this matches the values in "Templates" sheet in Config.xlsx and actual template files)</t>
  </si>
  <si>
    <t>Please ensure the following when creating the worksheet</t>
  </si>
  <si>
    <t>Ensure that the worksheet name matches the name in Config.xlsx</t>
  </si>
  <si>
    <t>The first row (i.e. headers) of the worksheet are treated as "bookmarks" to be used in the actual templates (i.e. microsoft word engagement templates)</t>
  </si>
  <si>
    <t>type in these "headers" into microsoft word templates. UiPath will replace the values based on the "headers"</t>
  </si>
  <si>
    <t>ensure that the "headers" are unique and special, as UiPath will replace all words that is the same as the "headers"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</si>
</sst>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d\-mmm\-yy;@"/>
    <numFmt numFmtId="165" formatCode="d\ [$-409]mmmm\ yyyy;@"/>
    <numFmt numFmtId="166" formatCode="000000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EYInterstate Light"/>
    </font>
    <font>
      <sz val="10"/>
      <name val="EYInterstate Light"/>
    </font>
    <font>
      <sz val="10"/>
      <color rgb="FF000000"/>
      <name val="EYInterstate Light"/>
    </font>
    <font>
      <b/>
      <sz val="10"/>
      <color theme="1"/>
      <name val="EYInterstate Light"/>
    </font>
    <font>
      <sz val="10"/>
      <color theme="1"/>
      <name val="Calibri"/>
      <family val="2"/>
      <scheme val="minor"/>
    </font>
    <font>
      <sz val="12"/>
      <name val="Times New Roman"/>
      <family val="1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i/>
      <sz val="8"/>
      <color rgb="FF7030A0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8" fillId="0" borderId="0"/>
    <xf numFmtId="164" fontId="2" fillId="0" borderId="0"/>
  </cellStyleXfs>
  <cellXfs count="11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Border="1" applyAlignment="1"/>
    <xf numFmtId="0" fontId="3" fillId="0" borderId="0" xfId="0" applyFont="1" applyBorder="1"/>
    <xf numFmtId="38" fontId="4" fillId="0" borderId="0" xfId="1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/>
    </xf>
    <xf numFmtId="38" fontId="4" fillId="2" borderId="0" xfId="1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3" fillId="2" borderId="0" xfId="0" quotePrefix="1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0" xfId="0" applyFont="1" applyFill="1"/>
    <xf numFmtId="0" fontId="3" fillId="4" borderId="0" xfId="0" applyFont="1" applyFill="1" applyAlignment="1">
      <alignment horizontal="left"/>
    </xf>
    <xf numFmtId="0" fontId="3" fillId="4" borderId="0" xfId="0" applyFont="1" applyFill="1"/>
    <xf numFmtId="0" fontId="3" fillId="5" borderId="0" xfId="0" applyFont="1" applyFill="1" applyAlignment="1">
      <alignment horizontal="left"/>
    </xf>
    <xf numFmtId="0" fontId="3" fillId="5" borderId="0" xfId="0" applyFont="1" applyFill="1"/>
    <xf numFmtId="0" fontId="4" fillId="5" borderId="0" xfId="0" applyFont="1" applyFill="1" applyBorder="1" applyAlignment="1">
      <alignment horizontal="left" vertical="center"/>
    </xf>
    <xf numFmtId="0" fontId="3" fillId="6" borderId="0" xfId="0" applyFont="1" applyFill="1" applyAlignment="1">
      <alignment horizontal="left"/>
    </xf>
    <xf numFmtId="0" fontId="3" fillId="6" borderId="0" xfId="0" applyFont="1" applyFill="1"/>
    <xf numFmtId="38" fontId="4" fillId="6" borderId="0" xfId="1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/>
    </xf>
    <xf numFmtId="38" fontId="4" fillId="4" borderId="0" xfId="1" applyNumberFormat="1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/>
    </xf>
    <xf numFmtId="0" fontId="4" fillId="4" borderId="0" xfId="0" applyFont="1" applyFill="1" applyBorder="1" applyAlignment="1">
      <alignment horizontal="left" vertical="center"/>
    </xf>
    <xf numFmtId="0" fontId="3" fillId="5" borderId="0" xfId="0" applyFont="1" applyFill="1" applyBorder="1" applyAlignment="1">
      <alignment horizontal="left" vertical="center"/>
    </xf>
    <xf numFmtId="0" fontId="3" fillId="5" borderId="0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/>
    </xf>
    <xf numFmtId="38" fontId="4" fillId="3" borderId="0" xfId="1" applyNumberFormat="1" applyFont="1" applyFill="1" applyBorder="1" applyAlignment="1">
      <alignment horizontal="left" vertical="center"/>
    </xf>
    <xf numFmtId="0" fontId="4" fillId="6" borderId="0" xfId="0" applyFont="1" applyFill="1" applyBorder="1" applyAlignment="1">
      <alignment horizontal="left" vertical="center"/>
    </xf>
    <xf numFmtId="0" fontId="3" fillId="6" borderId="0" xfId="0" applyFont="1" applyFill="1" applyBorder="1" applyAlignment="1">
      <alignment horizontal="left" vertical="center"/>
    </xf>
    <xf numFmtId="0" fontId="3" fillId="6" borderId="0" xfId="0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7" fillId="3" borderId="0" xfId="0" applyFont="1" applyFill="1" applyAlignment="1">
      <alignment horizontal="left"/>
    </xf>
    <xf numFmtId="0" fontId="3" fillId="0" borderId="0" xfId="0" applyFont="1" applyAlignment="1"/>
    <xf numFmtId="0" fontId="6" fillId="0" borderId="1" xfId="0" applyFont="1" applyBorder="1" applyAlignment="1"/>
    <xf numFmtId="38" fontId="4" fillId="2" borderId="0" xfId="1" applyNumberFormat="1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4" fillId="2" borderId="0" xfId="0" applyNumberFormat="1" applyFont="1" applyFill="1" applyBorder="1" applyAlignment="1">
      <alignment vertical="center"/>
    </xf>
    <xf numFmtId="38" fontId="4" fillId="4" borderId="0" xfId="1" applyNumberFormat="1" applyFont="1" applyFill="1" applyBorder="1" applyAlignment="1">
      <alignment vertical="center"/>
    </xf>
    <xf numFmtId="38" fontId="4" fillId="5" borderId="0" xfId="1" applyNumberFormat="1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38" fontId="4" fillId="3" borderId="0" xfId="1" applyNumberFormat="1" applyFont="1" applyFill="1" applyBorder="1" applyAlignment="1">
      <alignment vertical="center"/>
    </xf>
    <xf numFmtId="38" fontId="4" fillId="6" borderId="0" xfId="1" applyNumberFormat="1" applyFont="1" applyFill="1" applyBorder="1" applyAlignment="1">
      <alignment vertical="center"/>
    </xf>
    <xf numFmtId="38" fontId="4" fillId="0" borderId="0" xfId="1" applyNumberFormat="1" applyFont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3" fillId="6" borderId="2" xfId="0" applyFont="1" applyFill="1" applyBorder="1" applyAlignment="1">
      <alignment horizontal="center" vertical="top" wrapText="1"/>
    </xf>
    <xf numFmtId="49" fontId="14" fillId="8" borderId="3" xfId="0" applyNumberFormat="1" applyFont="1" applyFill="1" applyBorder="1" applyAlignment="1">
      <alignment horizontal="center" vertical="top" wrapText="1"/>
    </xf>
    <xf numFmtId="49" fontId="14" fillId="8" borderId="2" xfId="0" applyNumberFormat="1" applyFont="1" applyFill="1" applyBorder="1" applyAlignment="1">
      <alignment horizontal="center" vertical="top" wrapText="1"/>
    </xf>
    <xf numFmtId="49" fontId="14" fillId="0" borderId="3" xfId="0" applyNumberFormat="1" applyFont="1" applyBorder="1" applyAlignment="1">
      <alignment horizontal="center" vertical="top" wrapText="1"/>
    </xf>
    <xf numFmtId="49" fontId="14" fillId="8" borderId="6" xfId="0" applyNumberFormat="1" applyFont="1" applyFill="1" applyBorder="1" applyAlignment="1">
      <alignment horizontal="center" vertical="top" wrapText="1"/>
    </xf>
    <xf numFmtId="0" fontId="13" fillId="8" borderId="3" xfId="0" applyFont="1" applyFill="1" applyBorder="1" applyAlignment="1">
      <alignment horizontal="center" vertical="top" wrapText="1"/>
    </xf>
    <xf numFmtId="0" fontId="9" fillId="9" borderId="5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9" fillId="10" borderId="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right" vertical="center" wrapText="1"/>
    </xf>
    <xf numFmtId="0" fontId="7" fillId="0" borderId="0" xfId="0" applyFont="1"/>
    <xf numFmtId="0" fontId="9" fillId="10" borderId="8" xfId="0" applyFont="1" applyFill="1" applyBorder="1" applyAlignment="1">
      <alignment horizontal="center" vertical="center" wrapText="1"/>
    </xf>
    <xf numFmtId="165" fontId="12" fillId="4" borderId="9" xfId="0" applyNumberFormat="1" applyFont="1" applyFill="1" applyBorder="1" applyAlignment="1">
      <alignment horizontal="center" vertical="center"/>
    </xf>
    <xf numFmtId="165" fontId="12" fillId="4" borderId="10" xfId="0" applyNumberFormat="1" applyFont="1" applyFill="1" applyBorder="1" applyAlignment="1">
      <alignment horizontal="center" vertical="center"/>
    </xf>
    <xf numFmtId="0" fontId="12" fillId="3" borderId="10" xfId="0" applyNumberFormat="1" applyFont="1" applyFill="1" applyBorder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center" vertical="center" wrapText="1"/>
    </xf>
    <xf numFmtId="0" fontId="12" fillId="5" borderId="13" xfId="0" applyFont="1" applyFill="1" applyBorder="1" applyAlignment="1">
      <alignment horizontal="center" vertical="center" wrapText="1"/>
    </xf>
    <xf numFmtId="0" fontId="9" fillId="7" borderId="8" xfId="0" applyFont="1" applyFill="1" applyBorder="1" applyAlignment="1">
      <alignment horizontal="center" vertical="center"/>
    </xf>
    <xf numFmtId="39" fontId="12" fillId="4" borderId="13" xfId="0" applyNumberFormat="1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 wrapText="1"/>
    </xf>
    <xf numFmtId="39" fontId="12" fillId="3" borderId="9" xfId="0" applyNumberFormat="1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 vertical="center"/>
    </xf>
    <xf numFmtId="165" fontId="7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2" xfId="0" applyNumberFormat="1" applyFont="1" applyBorder="1" applyAlignment="1" applyProtection="1">
      <alignment horizontal="center" vertical="center" wrapText="1"/>
      <protection locked="0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7" fillId="5" borderId="2" xfId="0" applyFont="1" applyFill="1" applyBorder="1" applyAlignment="1" applyProtection="1">
      <alignment horizontal="center" vertical="center" wrapText="1"/>
    </xf>
    <xf numFmtId="165" fontId="7" fillId="0" borderId="15" xfId="0" applyNumberFormat="1" applyFont="1" applyFill="1" applyBorder="1" applyAlignment="1" applyProtection="1">
      <alignment horizontal="center" vertical="center" wrapText="1"/>
      <protection locked="0"/>
    </xf>
    <xf numFmtId="165" fontId="7" fillId="0" borderId="16" xfId="0" applyNumberFormat="1" applyFont="1" applyFill="1" applyBorder="1" applyAlignment="1" applyProtection="1">
      <alignment horizontal="center" vertical="center" wrapText="1"/>
      <protection locked="0"/>
    </xf>
    <xf numFmtId="39" fontId="7" fillId="0" borderId="17" xfId="0" applyNumberFormat="1" applyFont="1" applyFill="1" applyBorder="1" applyAlignment="1" applyProtection="1">
      <alignment horizontal="center" vertical="center" wrapText="1"/>
      <protection locked="0"/>
    </xf>
    <xf numFmtId="165" fontId="7" fillId="0" borderId="18" xfId="0" applyNumberFormat="1" applyFont="1" applyFill="1" applyBorder="1" applyAlignment="1" applyProtection="1">
      <alignment horizontal="center" vertical="center" wrapText="1"/>
      <protection locked="0"/>
    </xf>
    <xf numFmtId="39" fontId="7" fillId="0" borderId="19" xfId="0" applyNumberFormat="1" applyFont="1" applyFill="1" applyBorder="1" applyAlignment="1" applyProtection="1">
      <alignment horizontal="center" vertical="center" wrapText="1"/>
      <protection locked="0"/>
    </xf>
    <xf numFmtId="39" fontId="7" fillId="0" borderId="15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16" xfId="0" applyNumberFormat="1" applyFont="1" applyBorder="1" applyAlignment="1" applyProtection="1">
      <alignment horizontal="center" vertical="center" wrapText="1"/>
      <protection locked="0"/>
    </xf>
    <xf numFmtId="0" fontId="7" fillId="0" borderId="16" xfId="0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39" fontId="7" fillId="0" borderId="18" xfId="0" applyNumberFormat="1" applyFont="1" applyFill="1" applyBorder="1" applyAlignment="1" applyProtection="1">
      <alignment horizontal="center" vertical="center" wrapText="1"/>
      <protection locked="0"/>
    </xf>
    <xf numFmtId="166" fontId="7" fillId="0" borderId="19" xfId="0" applyNumberFormat="1" applyFont="1" applyBorder="1" applyAlignment="1" applyProtection="1">
      <alignment horizontal="center" vertical="center" wrapText="1"/>
      <protection locked="0"/>
    </xf>
    <xf numFmtId="0" fontId="7" fillId="0" borderId="15" xfId="0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center" vertical="center" wrapText="1"/>
      <protection locked="0"/>
    </xf>
    <xf numFmtId="0" fontId="7" fillId="5" borderId="19" xfId="0" applyFont="1" applyFill="1" applyBorder="1" applyAlignment="1" applyProtection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 applyProtection="1">
      <alignment horizontal="center" vertical="center" wrapText="1"/>
    </xf>
    <xf numFmtId="0" fontId="7" fillId="5" borderId="21" xfId="0" applyFont="1" applyFill="1" applyBorder="1" applyAlignment="1" applyProtection="1">
      <alignment horizontal="center" vertical="center" wrapText="1"/>
    </xf>
    <xf numFmtId="0" fontId="9" fillId="10" borderId="4" xfId="0" applyFont="1" applyFill="1" applyBorder="1" applyAlignment="1">
      <alignment horizontal="center" vertical="center" wrapText="1"/>
    </xf>
    <xf numFmtId="165" fontId="7" fillId="0" borderId="20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19" fillId="0" borderId="0" xfId="0" applyFont="1" applyAlignment="1">
      <alignment horizontal="right"/>
    </xf>
    <xf numFmtId="0" fontId="9" fillId="4" borderId="4" xfId="0" applyFont="1" applyFill="1" applyBorder="1" applyAlignment="1">
      <alignment horizontal="center"/>
    </xf>
    <xf numFmtId="0" fontId="9" fillId="4" borderId="5" xfId="0" applyFont="1" applyFill="1" applyBorder="1" applyAlignment="1">
      <alignment horizontal="center"/>
    </xf>
    <xf numFmtId="0" fontId="9" fillId="4" borderId="8" xfId="0" applyFont="1" applyFill="1" applyBorder="1" applyAlignment="1">
      <alignment horizontal="center"/>
    </xf>
    <xf numFmtId="0" fontId="9" fillId="3" borderId="22" xfId="0" applyFont="1" applyFill="1" applyBorder="1" applyAlignment="1">
      <alignment horizontal="center"/>
    </xf>
    <xf numFmtId="0" fontId="9" fillId="3" borderId="23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9" fillId="5" borderId="14" xfId="0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</cellXfs>
  <cellStyles count="5">
    <cellStyle name="Comma" xfId="1" builtinId="3"/>
    <cellStyle name="Normal" xfId="0" builtinId="0"/>
    <cellStyle name="Normal 2" xfId="3" xr:uid="{00000000-0005-0000-0000-000003000000}"/>
    <cellStyle name="Normal 29 2" xfId="4" xr:uid="{00000000-0005-0000-0000-000004000000}"/>
    <cellStyle name="Normal 4" xfId="2" xr:uid="{00000000-0005-0000-0000-000005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Shaun.Leong@sg.ey.com" TargetMode="External"/><Relationship Id="rId1" Type="http://schemas.openxmlformats.org/officeDocument/2006/relationships/hyperlink" Target="mailto:Carinna.Tham@sg.ey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FEC30-2A95-4088-836B-741FA460FFCC}">
  <dimension ref="A1:C11"/>
  <sheetViews>
    <sheetView tabSelected="1" workbookViewId="0">
      <selection activeCell="F5" sqref="F5"/>
    </sheetView>
  </sheetViews>
  <sheetFormatPr defaultRowHeight="14.4"/>
  <cols>
    <col min="1" max="1" width="3.21875" customWidth="1"/>
    <col min="2" max="2" width="3.33203125" customWidth="1"/>
  </cols>
  <sheetData>
    <row r="1" spans="1:3">
      <c r="A1" s="102" t="s">
        <v>443</v>
      </c>
    </row>
    <row r="2" spans="1:3">
      <c r="A2" s="103" t="s">
        <v>444</v>
      </c>
    </row>
    <row r="3" spans="1:3">
      <c r="A3">
        <v>1</v>
      </c>
      <c r="B3" s="104" t="s">
        <v>448</v>
      </c>
    </row>
    <row r="5" spans="1:3">
      <c r="A5" s="103" t="s">
        <v>445</v>
      </c>
    </row>
    <row r="6" spans="1:3">
      <c r="A6">
        <v>1</v>
      </c>
      <c r="B6" s="104" t="s">
        <v>449</v>
      </c>
    </row>
    <row r="7" spans="1:3">
      <c r="A7">
        <v>2</v>
      </c>
      <c r="B7" s="104" t="s">
        <v>452</v>
      </c>
    </row>
    <row r="8" spans="1:3">
      <c r="B8" s="105" t="s">
        <v>446</v>
      </c>
      <c r="C8" t="s">
        <v>453</v>
      </c>
    </row>
    <row r="9" spans="1:3">
      <c r="B9" s="105" t="s">
        <v>447</v>
      </c>
      <c r="C9" t="s">
        <v>454</v>
      </c>
    </row>
    <row r="10" spans="1:3">
      <c r="A10">
        <v>3</v>
      </c>
      <c r="B10" s="104" t="s">
        <v>450</v>
      </c>
    </row>
    <row r="11" spans="1:3">
      <c r="A11" s="104"/>
      <c r="B11" s="105" t="s">
        <v>446</v>
      </c>
      <c r="C11" s="104" t="s">
        <v>451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7977B-8906-482E-84D9-4FB9DDED78B1}">
  <sheetPr codeName="Sheet5"/>
  <dimension ref="A1:V13"/>
  <sheetViews>
    <sheetView zoomScaleNormal="100" workbookViewId="0">
      <selection activeCell="E8" sqref="E8"/>
    </sheetView>
  </sheetViews>
  <sheetFormatPr defaultRowHeight="14.4"/>
  <cols>
    <col min="1" max="1" width="6.33203125" customWidth="1"/>
    <col min="2" max="2" width="13.33203125" customWidth="1"/>
    <col min="3" max="3" width="13.88671875" bestFit="1" customWidth="1"/>
    <col min="4" max="4" width="11.88671875" bestFit="1" customWidth="1"/>
    <col min="5" max="5" width="12.109375" bestFit="1" customWidth="1"/>
    <col min="6" max="6" width="17.21875" customWidth="1"/>
    <col min="7" max="7" width="12.88671875" bestFit="1" customWidth="1"/>
    <col min="8" max="10" width="11.109375" customWidth="1"/>
    <col min="11" max="11" width="13.5546875" customWidth="1"/>
    <col min="12" max="12" width="10.109375" customWidth="1"/>
    <col min="13" max="13" width="10.5546875" customWidth="1"/>
    <col min="14" max="14" width="11.21875" bestFit="1" customWidth="1"/>
    <col min="15" max="15" width="9.5546875" bestFit="1" customWidth="1"/>
    <col min="16" max="16" width="15.5546875" customWidth="1"/>
    <col min="17" max="17" width="9.44140625" customWidth="1"/>
    <col min="18" max="18" width="10.88671875" bestFit="1" customWidth="1"/>
    <col min="19" max="19" width="11.21875" bestFit="1" customWidth="1"/>
    <col min="20" max="20" width="10.21875" bestFit="1" customWidth="1"/>
    <col min="21" max="21" width="13" customWidth="1"/>
    <col min="22" max="22" width="12.77734375" customWidth="1"/>
  </cols>
  <sheetData>
    <row r="1" spans="1:22" ht="28.2" customHeight="1" thickBot="1">
      <c r="B1" s="51" t="s">
        <v>215</v>
      </c>
      <c r="C1" s="61" t="s">
        <v>442</v>
      </c>
      <c r="D1" s="52" t="s">
        <v>18</v>
      </c>
      <c r="E1" s="72" t="s">
        <v>15</v>
      </c>
      <c r="F1" s="74" t="s">
        <v>231</v>
      </c>
      <c r="G1" s="60" t="s">
        <v>216</v>
      </c>
      <c r="H1" s="60" t="s">
        <v>232</v>
      </c>
      <c r="I1" s="60" t="s">
        <v>218</v>
      </c>
      <c r="J1" s="60" t="s">
        <v>217</v>
      </c>
      <c r="K1" s="60" t="s">
        <v>219</v>
      </c>
      <c r="L1" s="75" t="s">
        <v>220</v>
      </c>
      <c r="M1" s="99" t="s">
        <v>221</v>
      </c>
      <c r="N1" s="62" t="s">
        <v>222</v>
      </c>
      <c r="O1" s="62" t="s">
        <v>223</v>
      </c>
      <c r="P1" s="62" t="s">
        <v>224</v>
      </c>
      <c r="Q1" s="62" t="s">
        <v>225</v>
      </c>
      <c r="R1" s="62" t="s">
        <v>226</v>
      </c>
      <c r="S1" s="62" t="s">
        <v>227</v>
      </c>
      <c r="T1" s="62" t="s">
        <v>228</v>
      </c>
      <c r="U1" s="62" t="s">
        <v>229</v>
      </c>
      <c r="V1" s="65" t="s">
        <v>230</v>
      </c>
    </row>
    <row r="2" spans="1:22" s="64" customFormat="1" ht="26.4" customHeight="1">
      <c r="A2" s="63" t="s">
        <v>206</v>
      </c>
      <c r="B2" s="82">
        <v>43466</v>
      </c>
      <c r="C2" s="100">
        <v>36526</v>
      </c>
      <c r="D2" s="83" t="s">
        <v>19</v>
      </c>
      <c r="E2" s="84">
        <v>2000</v>
      </c>
      <c r="F2" s="87" t="s">
        <v>205</v>
      </c>
      <c r="G2" s="88" t="s">
        <v>20</v>
      </c>
      <c r="H2" s="89" t="s">
        <v>200</v>
      </c>
      <c r="I2" s="89" t="s">
        <v>201</v>
      </c>
      <c r="J2" s="89" t="s">
        <v>203</v>
      </c>
      <c r="K2" s="89" t="s">
        <v>202</v>
      </c>
      <c r="L2" s="90">
        <v>123456</v>
      </c>
      <c r="M2" s="93" t="s">
        <v>342</v>
      </c>
      <c r="N2" s="97" t="str">
        <f>VLOOKUP($M2,'Engagement Team'!$A$1:$G$53,2,FALSE)</f>
        <v>Mrs</v>
      </c>
      <c r="O2" s="97" t="str">
        <f>VLOOKUP($M2,'Engagement Team'!$A$1:$G$53,3,FALSE)</f>
        <v>Panda6</v>
      </c>
      <c r="P2" s="97" t="str">
        <f>VLOOKUP($M2,'Engagement Team'!$A$2:$G$53,6,FALSE)</f>
        <v>7004 1234</v>
      </c>
      <c r="Q2" s="97" t="str">
        <f>VLOOKUP($M2,'Engagement Team'!$A$2:$G$53,7,FALSE)</f>
        <v>Panda.P6@hotmail.com</v>
      </c>
      <c r="R2" s="101" t="s">
        <v>345</v>
      </c>
      <c r="S2" s="97" t="str">
        <f>VLOOKUP($R2,'Engagement Team'!$A$1:$G$53,2,FALSE)</f>
        <v>Mrs</v>
      </c>
      <c r="T2" s="97" t="str">
        <f>VLOOKUP($R2,'Engagement Team'!$A$1:$G$53,3,FALSE)</f>
        <v>Panda9</v>
      </c>
      <c r="U2" s="97" t="str">
        <f>VLOOKUP($R2,'Engagement Team'!$A$2:$G$53,6,FALSE)</f>
        <v>7007 1234</v>
      </c>
      <c r="V2" s="98" t="str">
        <f>VLOOKUP($R2,'Engagement Team'!$A$2:$G$53,7,FALSE)</f>
        <v>Panda.P9@hotmail.com</v>
      </c>
    </row>
    <row r="3" spans="1:22" s="64" customFormat="1" ht="26.4" customHeight="1">
      <c r="A3" s="63"/>
      <c r="B3" s="85">
        <v>43466</v>
      </c>
      <c r="C3" s="78">
        <v>36527</v>
      </c>
      <c r="D3" s="78" t="s">
        <v>19</v>
      </c>
      <c r="E3" s="86">
        <v>3000</v>
      </c>
      <c r="F3" s="91" t="s">
        <v>205</v>
      </c>
      <c r="G3" s="79" t="s">
        <v>20</v>
      </c>
      <c r="H3" s="80" t="s">
        <v>200</v>
      </c>
      <c r="I3" s="80" t="s">
        <v>201</v>
      </c>
      <c r="J3" s="80" t="s">
        <v>203</v>
      </c>
      <c r="K3" s="80" t="s">
        <v>202</v>
      </c>
      <c r="L3" s="92">
        <v>123456</v>
      </c>
      <c r="M3" s="94" t="s">
        <v>339</v>
      </c>
      <c r="N3" s="81" t="str">
        <f>VLOOKUP($M3,'Engagement Team'!$A$1:$G$53,2,FALSE)</f>
        <v>Mrs</v>
      </c>
      <c r="O3" s="81" t="str">
        <f>VLOOKUP($M3,'Engagement Team'!$A$1:$G$53,3,FALSE)</f>
        <v>Panda3</v>
      </c>
      <c r="P3" s="81" t="str">
        <f>VLOOKUP($M3,'Engagement Team'!$A$2:$G$53,6,FALSE)</f>
        <v>7001 1234</v>
      </c>
      <c r="Q3" s="81" t="str">
        <f>VLOOKUP($M3,'Engagement Team'!$A$2:$G$53,7,FALSE)</f>
        <v>Panda.P3@hotmail.com</v>
      </c>
      <c r="R3" s="80" t="s">
        <v>384</v>
      </c>
      <c r="S3" s="81" t="str">
        <f>VLOOKUP($R3,'Engagement Team'!$A$1:$G$53,2,FALSE)</f>
        <v>Mr</v>
      </c>
      <c r="T3" s="81" t="str">
        <f>VLOOKUP($R3,'Engagement Team'!$A$1:$G$53,3,FALSE)</f>
        <v>Panda48</v>
      </c>
      <c r="U3" s="81" t="str">
        <f>VLOOKUP($R3,'Engagement Team'!$A$2:$G$53,6,FALSE)</f>
        <v>7046 1234</v>
      </c>
      <c r="V3" s="95" t="str">
        <f>VLOOKUP($R3,'Engagement Team'!$A$2:$G$53,7,FALSE)</f>
        <v>Panda.P48@hotmail.com</v>
      </c>
    </row>
    <row r="4" spans="1:22" s="64" customFormat="1" ht="26.4" customHeight="1">
      <c r="A4" s="63"/>
      <c r="B4" s="85">
        <v>43467</v>
      </c>
      <c r="C4" s="78">
        <v>36528</v>
      </c>
      <c r="D4" s="78" t="s">
        <v>19</v>
      </c>
      <c r="E4" s="86">
        <v>4000</v>
      </c>
      <c r="F4" s="91" t="s">
        <v>205</v>
      </c>
      <c r="G4" s="79" t="s">
        <v>20</v>
      </c>
      <c r="H4" s="80" t="s">
        <v>200</v>
      </c>
      <c r="I4" s="80" t="s">
        <v>201</v>
      </c>
      <c r="J4" s="80" t="s">
        <v>203</v>
      </c>
      <c r="K4" s="80" t="s">
        <v>202</v>
      </c>
      <c r="L4" s="92">
        <v>123456</v>
      </c>
      <c r="M4" s="94" t="s">
        <v>342</v>
      </c>
      <c r="N4" s="81" t="str">
        <f>VLOOKUP($M4,'Engagement Team'!$A$1:$G$53,2,FALSE)</f>
        <v>Mrs</v>
      </c>
      <c r="O4" s="81" t="str">
        <f>VLOOKUP($M4,'Engagement Team'!$A$1:$G$53,3,FALSE)</f>
        <v>Panda6</v>
      </c>
      <c r="P4" s="81" t="str">
        <f>VLOOKUP($M4,'Engagement Team'!$A$2:$G$53,6,FALSE)</f>
        <v>7004 1234</v>
      </c>
      <c r="Q4" s="81" t="str">
        <f>VLOOKUP($M4,'Engagement Team'!$A$2:$G$53,7,FALSE)</f>
        <v>Panda.P6@hotmail.com</v>
      </c>
      <c r="R4" s="80" t="s">
        <v>383</v>
      </c>
      <c r="S4" s="81" t="str">
        <f>VLOOKUP($R4,'Engagement Team'!$A$1:$G$53,2,FALSE)</f>
        <v>Mr</v>
      </c>
      <c r="T4" s="81" t="str">
        <f>VLOOKUP($R4,'Engagement Team'!$A$1:$G$53,3,FALSE)</f>
        <v>Panda47</v>
      </c>
      <c r="U4" s="81" t="str">
        <f>VLOOKUP($R4,'Engagement Team'!$A$2:$G$53,6,FALSE)</f>
        <v>7045 1234</v>
      </c>
      <c r="V4" s="95" t="str">
        <f>VLOOKUP($R4,'Engagement Team'!$A$2:$G$53,7,FALSE)</f>
        <v>Panda.P47@hotmail.com</v>
      </c>
    </row>
    <row r="5" spans="1:22" s="64" customFormat="1" ht="26.4" customHeight="1">
      <c r="A5" s="63"/>
      <c r="B5" s="85">
        <v>43468</v>
      </c>
      <c r="C5" s="78">
        <v>36529</v>
      </c>
      <c r="D5" s="78" t="s">
        <v>19</v>
      </c>
      <c r="E5" s="86">
        <v>5000</v>
      </c>
      <c r="F5" s="91" t="s">
        <v>205</v>
      </c>
      <c r="G5" s="79" t="s">
        <v>20</v>
      </c>
      <c r="H5" s="80" t="s">
        <v>200</v>
      </c>
      <c r="I5" s="80" t="s">
        <v>201</v>
      </c>
      <c r="J5" s="80" t="s">
        <v>203</v>
      </c>
      <c r="K5" s="80" t="s">
        <v>202</v>
      </c>
      <c r="L5" s="92">
        <v>123456</v>
      </c>
      <c r="M5" s="94" t="s">
        <v>342</v>
      </c>
      <c r="N5" s="81" t="str">
        <f>VLOOKUP($M5,'Engagement Team'!$A$1:$G$53,2,FALSE)</f>
        <v>Mrs</v>
      </c>
      <c r="O5" s="81" t="str">
        <f>VLOOKUP($M5,'Engagement Team'!$A$1:$G$53,3,FALSE)</f>
        <v>Panda6</v>
      </c>
      <c r="P5" s="81" t="str">
        <f>VLOOKUP($M5,'Engagement Team'!$A$2:$G$53,6,FALSE)</f>
        <v>7004 1234</v>
      </c>
      <c r="Q5" s="81" t="str">
        <f>VLOOKUP($M5,'Engagement Team'!$A$2:$G$53,7,FALSE)</f>
        <v>Panda.P6@hotmail.com</v>
      </c>
      <c r="R5" s="80" t="s">
        <v>357</v>
      </c>
      <c r="S5" s="81" t="str">
        <f>VLOOKUP($R5,'Engagement Team'!$A$1:$G$53,2,FALSE)</f>
        <v>Mr</v>
      </c>
      <c r="T5" s="81" t="str">
        <f>VLOOKUP($R5,'Engagement Team'!$A$1:$G$53,3,FALSE)</f>
        <v>Panda21</v>
      </c>
      <c r="U5" s="81" t="str">
        <f>VLOOKUP($R5,'Engagement Team'!$A$2:$G$53,6,FALSE)</f>
        <v>7019 1234</v>
      </c>
      <c r="V5" s="95" t="str">
        <f>VLOOKUP($R5,'Engagement Team'!$A$2:$G$53,7,FALSE)</f>
        <v>Panda.P21@hotmail.com</v>
      </c>
    </row>
    <row r="6" spans="1:22" s="64" customFormat="1" ht="26.4" customHeight="1">
      <c r="A6" s="63"/>
      <c r="B6" s="85"/>
      <c r="C6" s="78"/>
      <c r="D6" s="78"/>
      <c r="E6" s="86"/>
      <c r="F6" s="91"/>
      <c r="G6" s="79"/>
      <c r="H6" s="80"/>
      <c r="I6" s="80"/>
      <c r="J6" s="80"/>
      <c r="K6" s="80"/>
      <c r="L6" s="92"/>
      <c r="M6" s="94"/>
      <c r="N6" s="81" t="e">
        <f>VLOOKUP($M6,'Engagement Team'!$A$1:$G$53,2,FALSE)</f>
        <v>#N/A</v>
      </c>
      <c r="O6" s="81" t="e">
        <f>VLOOKUP($M6,'Engagement Team'!$A$1:$G$53,3,FALSE)</f>
        <v>#N/A</v>
      </c>
      <c r="P6" s="81" t="e">
        <f>VLOOKUP($M6,'Engagement Team'!$A$2:$G$53,6,FALSE)</f>
        <v>#N/A</v>
      </c>
      <c r="Q6" s="81" t="e">
        <f>VLOOKUP($M6,'Engagement Team'!$A$2:$G$53,7,FALSE)</f>
        <v>#N/A</v>
      </c>
      <c r="R6" s="80"/>
      <c r="S6" s="81" t="e">
        <f>VLOOKUP($R6,'Engagement Team'!$A$1:$G$53,2,FALSE)</f>
        <v>#N/A</v>
      </c>
      <c r="T6" s="81" t="e">
        <f>VLOOKUP($R6,'Engagement Team'!$A$1:$G$53,3,FALSE)</f>
        <v>#N/A</v>
      </c>
      <c r="U6" s="81" t="e">
        <f>VLOOKUP($R6,'Engagement Team'!$A$2:$G$53,6,FALSE)</f>
        <v>#N/A</v>
      </c>
      <c r="V6" s="95" t="e">
        <f>VLOOKUP($R6,'Engagement Team'!$A$2:$G$53,7,FALSE)</f>
        <v>#N/A</v>
      </c>
    </row>
    <row r="7" spans="1:22" s="64" customFormat="1" ht="26.4" customHeight="1">
      <c r="A7" s="63"/>
      <c r="B7" s="85"/>
      <c r="C7" s="78"/>
      <c r="D7" s="78"/>
      <c r="E7" s="86"/>
      <c r="F7" s="91"/>
      <c r="G7" s="79"/>
      <c r="H7" s="80"/>
      <c r="I7" s="80"/>
      <c r="J7" s="80"/>
      <c r="K7" s="80"/>
      <c r="L7" s="92"/>
      <c r="M7" s="94"/>
      <c r="N7" s="81" t="e">
        <f>VLOOKUP($M7,'Engagement Team'!$A$1:$G$53,2,FALSE)</f>
        <v>#N/A</v>
      </c>
      <c r="O7" s="81" t="e">
        <f>VLOOKUP($M7,'Engagement Team'!$A$1:$G$53,3,FALSE)</f>
        <v>#N/A</v>
      </c>
      <c r="P7" s="81" t="e">
        <f>VLOOKUP($M7,'Engagement Team'!$A$2:$G$53,6,FALSE)</f>
        <v>#N/A</v>
      </c>
      <c r="Q7" s="81" t="e">
        <f>VLOOKUP($M7,'Engagement Team'!$A$2:$G$53,7,FALSE)</f>
        <v>#N/A</v>
      </c>
      <c r="R7" s="80"/>
      <c r="S7" s="81" t="e">
        <f>VLOOKUP($R7,'Engagement Team'!$A$1:$G$53,2,FALSE)</f>
        <v>#N/A</v>
      </c>
      <c r="T7" s="81" t="e">
        <f>VLOOKUP($R7,'Engagement Team'!$A$1:$G$53,3,FALSE)</f>
        <v>#N/A</v>
      </c>
      <c r="U7" s="81" t="e">
        <f>VLOOKUP($R7,'Engagement Team'!$A$2:$G$53,6,FALSE)</f>
        <v>#N/A</v>
      </c>
      <c r="V7" s="95" t="e">
        <f>VLOOKUP($R7,'Engagement Team'!$A$2:$G$53,7,FALSE)</f>
        <v>#N/A</v>
      </c>
    </row>
    <row r="8" spans="1:22" s="64" customFormat="1" ht="26.4" customHeight="1">
      <c r="A8" s="63"/>
      <c r="B8" s="85"/>
      <c r="C8" s="78"/>
      <c r="D8" s="78"/>
      <c r="E8" s="86"/>
      <c r="F8" s="91"/>
      <c r="G8" s="79"/>
      <c r="H8" s="80"/>
      <c r="I8" s="80"/>
      <c r="J8" s="80"/>
      <c r="K8" s="80"/>
      <c r="L8" s="92"/>
      <c r="M8" s="94"/>
      <c r="N8" s="81" t="e">
        <f>VLOOKUP($M8,'Engagement Team'!$A$1:$G$53,2,FALSE)</f>
        <v>#N/A</v>
      </c>
      <c r="O8" s="81" t="e">
        <f>VLOOKUP($M8,'Engagement Team'!$A$1:$G$53,3,FALSE)</f>
        <v>#N/A</v>
      </c>
      <c r="P8" s="81" t="e">
        <f>VLOOKUP($M8,'Engagement Team'!$A$2:$G$53,6,FALSE)</f>
        <v>#N/A</v>
      </c>
      <c r="Q8" s="81" t="e">
        <f>VLOOKUP($M8,'Engagement Team'!$A$2:$G$53,7,FALSE)</f>
        <v>#N/A</v>
      </c>
      <c r="R8" s="80"/>
      <c r="S8" s="81" t="e">
        <f>VLOOKUP($R8,'Engagement Team'!$A$1:$G$53,2,FALSE)</f>
        <v>#N/A</v>
      </c>
      <c r="T8" s="81" t="e">
        <f>VLOOKUP($R8,'Engagement Team'!$A$1:$G$53,3,FALSE)</f>
        <v>#N/A</v>
      </c>
      <c r="U8" s="81" t="e">
        <f>VLOOKUP($R8,'Engagement Team'!$A$2:$G$53,6,FALSE)</f>
        <v>#N/A</v>
      </c>
      <c r="V8" s="95" t="e">
        <f>VLOOKUP($R8,'Engagement Team'!$A$2:$G$53,7,FALSE)</f>
        <v>#N/A</v>
      </c>
    </row>
    <row r="9" spans="1:22" s="64" customFormat="1" ht="26.4" customHeight="1">
      <c r="A9" s="63"/>
      <c r="B9" s="85"/>
      <c r="C9" s="78"/>
      <c r="D9" s="78"/>
      <c r="E9" s="86"/>
      <c r="F9" s="91"/>
      <c r="G9" s="79"/>
      <c r="H9" s="80"/>
      <c r="I9" s="80"/>
      <c r="J9" s="80"/>
      <c r="K9" s="80"/>
      <c r="L9" s="92"/>
      <c r="M9" s="94"/>
      <c r="N9" s="81" t="e">
        <f>VLOOKUP($M9,'Engagement Team'!$A$1:$G$53,2,FALSE)</f>
        <v>#N/A</v>
      </c>
      <c r="O9" s="81" t="e">
        <f>VLOOKUP($M9,'Engagement Team'!$A$1:$G$53,3,FALSE)</f>
        <v>#N/A</v>
      </c>
      <c r="P9" s="81" t="e">
        <f>VLOOKUP($M9,'Engagement Team'!$A$2:$G$53,6,FALSE)</f>
        <v>#N/A</v>
      </c>
      <c r="Q9" s="81" t="e">
        <f>VLOOKUP($M9,'Engagement Team'!$A$2:$G$53,7,FALSE)</f>
        <v>#N/A</v>
      </c>
      <c r="R9" s="80"/>
      <c r="S9" s="81" t="e">
        <f>VLOOKUP($R9,'Engagement Team'!$A$1:$G$53,2,FALSE)</f>
        <v>#N/A</v>
      </c>
      <c r="T9" s="81" t="e">
        <f>VLOOKUP($R9,'Engagement Team'!$A$1:$G$53,3,FALSE)</f>
        <v>#N/A</v>
      </c>
      <c r="U9" s="81" t="e">
        <f>VLOOKUP($R9,'Engagement Team'!$A$2:$G$53,6,FALSE)</f>
        <v>#N/A</v>
      </c>
      <c r="V9" s="95" t="e">
        <f>VLOOKUP($R9,'Engagement Team'!$A$2:$G$53,7,FALSE)</f>
        <v>#N/A</v>
      </c>
    </row>
    <row r="10" spans="1:22" s="64" customFormat="1" ht="26.4" customHeight="1">
      <c r="A10" s="63"/>
      <c r="B10" s="85"/>
      <c r="C10" s="78"/>
      <c r="D10" s="78"/>
      <c r="E10" s="86"/>
      <c r="F10" s="91"/>
      <c r="G10" s="79"/>
      <c r="H10" s="80"/>
      <c r="I10" s="80"/>
      <c r="J10" s="80"/>
      <c r="K10" s="80"/>
      <c r="L10" s="92"/>
      <c r="M10" s="94"/>
      <c r="N10" s="81" t="e">
        <f>VLOOKUP($M10,'Engagement Team'!$A$1:$G$53,2,FALSE)</f>
        <v>#N/A</v>
      </c>
      <c r="O10" s="81" t="e">
        <f>VLOOKUP($M10,'Engagement Team'!$A$1:$G$53,3,FALSE)</f>
        <v>#N/A</v>
      </c>
      <c r="P10" s="81" t="e">
        <f>VLOOKUP($M10,'Engagement Team'!$A$2:$G$53,6,FALSE)</f>
        <v>#N/A</v>
      </c>
      <c r="Q10" s="81" t="e">
        <f>VLOOKUP($M10,'Engagement Team'!$A$2:$G$53,7,FALSE)</f>
        <v>#N/A</v>
      </c>
      <c r="R10" s="80"/>
      <c r="S10" s="81" t="e">
        <f>VLOOKUP($R10,'Engagement Team'!$A$1:$G$53,2,FALSE)</f>
        <v>#N/A</v>
      </c>
      <c r="T10" s="81" t="e">
        <f>VLOOKUP($R10,'Engagement Team'!$A$1:$G$53,3,FALSE)</f>
        <v>#N/A</v>
      </c>
      <c r="U10" s="81" t="e">
        <f>VLOOKUP($R10,'Engagement Team'!$A$2:$G$53,6,FALSE)</f>
        <v>#N/A</v>
      </c>
      <c r="V10" s="95" t="e">
        <f>VLOOKUP($R10,'Engagement Team'!$A$2:$G$53,7,FALSE)</f>
        <v>#N/A</v>
      </c>
    </row>
    <row r="11" spans="1:22" s="64" customFormat="1" ht="26.4" customHeight="1">
      <c r="A11" s="63"/>
      <c r="B11" s="85"/>
      <c r="C11" s="78"/>
      <c r="D11" s="78"/>
      <c r="E11" s="86"/>
      <c r="F11" s="91"/>
      <c r="G11" s="79"/>
      <c r="H11" s="80"/>
      <c r="I11" s="80"/>
      <c r="J11" s="80"/>
      <c r="K11" s="80"/>
      <c r="L11" s="92"/>
      <c r="M11" s="94"/>
      <c r="N11" s="81" t="e">
        <f>VLOOKUP($M11,'Engagement Team'!$A$1:$G$53,2,FALSE)</f>
        <v>#N/A</v>
      </c>
      <c r="O11" s="81" t="e">
        <f>VLOOKUP($M11,'Engagement Team'!$A$1:$G$53,3,FALSE)</f>
        <v>#N/A</v>
      </c>
      <c r="P11" s="81" t="e">
        <f>VLOOKUP($M11,'Engagement Team'!$A$2:$G$53,6,FALSE)</f>
        <v>#N/A</v>
      </c>
      <c r="Q11" s="81" t="e">
        <f>VLOOKUP($M11,'Engagement Team'!$A$2:$G$53,7,FALSE)</f>
        <v>#N/A</v>
      </c>
      <c r="R11" s="80"/>
      <c r="S11" s="81" t="e">
        <f>VLOOKUP($R11,'Engagement Team'!$A$1:$G$53,2,FALSE)</f>
        <v>#N/A</v>
      </c>
      <c r="T11" s="81" t="e">
        <f>VLOOKUP($R11,'Engagement Team'!$A$1:$G$53,3,FALSE)</f>
        <v>#N/A</v>
      </c>
      <c r="U11" s="81" t="e">
        <f>VLOOKUP($R11,'Engagement Team'!$A$2:$G$53,6,FALSE)</f>
        <v>#N/A</v>
      </c>
      <c r="V11" s="95" t="e">
        <f>VLOOKUP($R11,'Engagement Team'!$A$2:$G$53,7,FALSE)</f>
        <v>#N/A</v>
      </c>
    </row>
    <row r="12" spans="1:22" s="50" customFormat="1" ht="20.399999999999999" customHeight="1" thickBot="1">
      <c r="A12" s="53" t="s">
        <v>17</v>
      </c>
      <c r="B12" s="66">
        <v>43466</v>
      </c>
      <c r="C12" s="67">
        <v>43466</v>
      </c>
      <c r="D12" s="67" t="s">
        <v>19</v>
      </c>
      <c r="E12" s="73">
        <v>1000</v>
      </c>
      <c r="F12" s="76" t="s">
        <v>205</v>
      </c>
      <c r="G12" s="68" t="s">
        <v>20</v>
      </c>
      <c r="H12" s="69" t="s">
        <v>200</v>
      </c>
      <c r="I12" s="69" t="s">
        <v>201</v>
      </c>
      <c r="J12" s="69" t="s">
        <v>203</v>
      </c>
      <c r="K12" s="69" t="s">
        <v>202</v>
      </c>
      <c r="L12" s="77">
        <v>123456</v>
      </c>
      <c r="M12" s="96" t="s">
        <v>212</v>
      </c>
      <c r="N12" s="70" t="s">
        <v>207</v>
      </c>
      <c r="O12" s="70" t="s">
        <v>208</v>
      </c>
      <c r="P12" s="70" t="s">
        <v>209</v>
      </c>
      <c r="Q12" s="70" t="s">
        <v>210</v>
      </c>
      <c r="R12" s="70" t="s">
        <v>212</v>
      </c>
      <c r="S12" s="70" t="s">
        <v>207</v>
      </c>
      <c r="T12" s="70" t="s">
        <v>208</v>
      </c>
      <c r="U12" s="70" t="s">
        <v>209</v>
      </c>
      <c r="V12" s="71" t="s">
        <v>210</v>
      </c>
    </row>
    <row r="13" spans="1:22" ht="15" thickBot="1">
      <c r="B13" s="106" t="s">
        <v>16</v>
      </c>
      <c r="C13" s="107"/>
      <c r="D13" s="107"/>
      <c r="E13" s="108"/>
      <c r="F13" s="109" t="s">
        <v>204</v>
      </c>
      <c r="G13" s="110"/>
      <c r="H13" s="110"/>
      <c r="I13" s="110"/>
      <c r="J13" s="110"/>
      <c r="K13" s="110"/>
      <c r="L13" s="111"/>
      <c r="M13" s="112" t="s">
        <v>211</v>
      </c>
      <c r="N13" s="113"/>
      <c r="O13" s="113"/>
      <c r="P13" s="113"/>
      <c r="Q13" s="113"/>
      <c r="R13" s="113"/>
      <c r="S13" s="113"/>
      <c r="T13" s="113"/>
      <c r="U13" s="113"/>
      <c r="V13" s="114"/>
    </row>
  </sheetData>
  <sheetProtection selectLockedCells="1"/>
  <mergeCells count="3">
    <mergeCell ref="B13:E13"/>
    <mergeCell ref="F13:L13"/>
    <mergeCell ref="M13:V13"/>
  </mergeCells>
  <dataValidations count="2">
    <dataValidation type="date" errorStyle="information" operator="greaterThanOrEqual" allowBlank="1" showInputMessage="1" showErrorMessage="1" errorTitle="Please enter a valid date" sqref="B2:C11" xr:uid="{C3B810E0-B2B0-4CDA-860E-A21FD811D079}">
      <formula1>32874</formula1>
    </dataValidation>
    <dataValidation type="whole" errorStyle="information" operator="greaterThanOrEqual" allowBlank="1" showInputMessage="1" showErrorMessage="1" errorTitle="Panda Says Hi" error="Please kindly enter a numerical entry" sqref="L2:L11" xr:uid="{4C6A621C-2AC9-4E8D-AC3D-85D60C996AD2}">
      <formula1>0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information" allowBlank="1" showInputMessage="1" showErrorMessage="1" errorTitle="Initial Invalid" error="Please Re-enter" xr:uid="{5D1BD778-49C2-4C7D-8DAC-EAEC61F18A98}">
          <x14:formula1>
            <xm:f>OFFSET('Engagement Team'!$A$1,1,0,COUNTA(OFFSET('Engagement Team'!$A$1,1,0,100,1)),1)</xm:f>
          </x14:formula1>
          <xm:sqref>M2:M11</xm:sqref>
        </x14:dataValidation>
        <x14:dataValidation type="list" allowBlank="1" showInputMessage="1" showErrorMessage="1" xr:uid="{3C54708F-7965-4268-84B9-ED23FEB6FB61}">
          <x14:formula1>
            <xm:f>OFFSET('Engagement Team'!$A$1,1,0,COUNTA(OFFSET('Engagement Team'!$A$1,1,0,100,1)),1)</xm:f>
          </x14:formula1>
          <xm:sqref>R2:R11</xm:sqref>
        </x14:dataValidation>
        <x14:dataValidation type="list" allowBlank="1" showInputMessage="1" showErrorMessage="1" xr:uid="{3AECD695-6BDF-46AC-8CA4-51491F194E31}">
          <x14:formula1>
            <xm:f>Currencies!$B$3:$B$181</xm:f>
          </x14:formula1>
          <xm:sqref>D2:D11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8BAB-FF31-4390-B7BB-1F3C9DE100E2}">
  <sheetPr codeName="Sheet2"/>
  <dimension ref="A1:V13"/>
  <sheetViews>
    <sheetView zoomScaleNormal="100" workbookViewId="0">
      <selection activeCell="C18" sqref="C18"/>
    </sheetView>
  </sheetViews>
  <sheetFormatPr defaultRowHeight="14.4"/>
  <cols>
    <col min="1" max="1" width="6.33203125" customWidth="1"/>
    <col min="2" max="2" width="13.33203125" customWidth="1"/>
    <col min="3" max="3" width="13.88671875" bestFit="1" customWidth="1"/>
    <col min="4" max="4" width="11.88671875" bestFit="1" customWidth="1"/>
    <col min="5" max="5" width="12.109375" bestFit="1" customWidth="1"/>
    <col min="6" max="6" width="17.21875" customWidth="1"/>
    <col min="7" max="7" width="12.88671875" bestFit="1" customWidth="1"/>
    <col min="8" max="10" width="11.109375" customWidth="1"/>
    <col min="11" max="11" width="13.5546875" customWidth="1"/>
    <col min="12" max="12" width="10.109375" customWidth="1"/>
    <col min="13" max="13" width="10.5546875" customWidth="1"/>
    <col min="14" max="14" width="11.21875" bestFit="1" customWidth="1"/>
    <col min="15" max="15" width="9.5546875" bestFit="1" customWidth="1"/>
    <col min="16" max="16" width="15.5546875" customWidth="1"/>
    <col min="17" max="17" width="9.44140625" customWidth="1"/>
    <col min="18" max="18" width="10.88671875" bestFit="1" customWidth="1"/>
    <col min="19" max="19" width="11.21875" bestFit="1" customWidth="1"/>
    <col min="20" max="20" width="10.21875" bestFit="1" customWidth="1"/>
    <col min="21" max="21" width="13" customWidth="1"/>
    <col min="22" max="22" width="12.77734375" customWidth="1"/>
  </cols>
  <sheetData>
    <row r="1" spans="1:22" ht="28.2" customHeight="1" thickBot="1">
      <c r="B1" s="51" t="s">
        <v>215</v>
      </c>
      <c r="C1" s="61" t="s">
        <v>442</v>
      </c>
      <c r="D1" s="52" t="s">
        <v>18</v>
      </c>
      <c r="E1" s="72" t="s">
        <v>15</v>
      </c>
      <c r="F1" s="74" t="s">
        <v>231</v>
      </c>
      <c r="G1" s="60" t="s">
        <v>216</v>
      </c>
      <c r="H1" s="60" t="s">
        <v>232</v>
      </c>
      <c r="I1" s="60" t="s">
        <v>218</v>
      </c>
      <c r="J1" s="60" t="s">
        <v>217</v>
      </c>
      <c r="K1" s="60" t="s">
        <v>219</v>
      </c>
      <c r="L1" s="75" t="s">
        <v>220</v>
      </c>
      <c r="M1" s="99" t="s">
        <v>221</v>
      </c>
      <c r="N1" s="62" t="s">
        <v>222</v>
      </c>
      <c r="O1" s="62" t="s">
        <v>223</v>
      </c>
      <c r="P1" s="62" t="s">
        <v>224</v>
      </c>
      <c r="Q1" s="62" t="s">
        <v>225</v>
      </c>
      <c r="R1" s="62" t="s">
        <v>226</v>
      </c>
      <c r="S1" s="62" t="s">
        <v>227</v>
      </c>
      <c r="T1" s="62" t="s">
        <v>228</v>
      </c>
      <c r="U1" s="62" t="s">
        <v>229</v>
      </c>
      <c r="V1" s="65" t="s">
        <v>230</v>
      </c>
    </row>
    <row r="2" spans="1:22" s="64" customFormat="1" ht="26.4" customHeight="1">
      <c r="A2" s="63" t="s">
        <v>206</v>
      </c>
      <c r="B2" s="82">
        <v>43466</v>
      </c>
      <c r="C2" s="100">
        <v>36526</v>
      </c>
      <c r="D2" s="83" t="s">
        <v>19</v>
      </c>
      <c r="E2" s="84">
        <v>2000</v>
      </c>
      <c r="F2" s="87" t="s">
        <v>205</v>
      </c>
      <c r="G2" s="88" t="s">
        <v>20</v>
      </c>
      <c r="H2" s="89" t="s">
        <v>200</v>
      </c>
      <c r="I2" s="89" t="s">
        <v>201</v>
      </c>
      <c r="J2" s="89" t="s">
        <v>203</v>
      </c>
      <c r="K2" s="89" t="s">
        <v>202</v>
      </c>
      <c r="L2" s="90">
        <v>123456</v>
      </c>
      <c r="M2" s="93" t="s">
        <v>342</v>
      </c>
      <c r="N2" s="97" t="str">
        <f>VLOOKUP($M2,'Engagement Team'!$A$1:$G$53,2,FALSE)</f>
        <v>Mrs</v>
      </c>
      <c r="O2" s="97" t="str">
        <f>VLOOKUP($M2,'Engagement Team'!$A$1:$G$53,3,FALSE)</f>
        <v>Panda6</v>
      </c>
      <c r="P2" s="97" t="str">
        <f>VLOOKUP($M2,'Engagement Team'!$A$2:$G$53,6,FALSE)</f>
        <v>7004 1234</v>
      </c>
      <c r="Q2" s="97" t="str">
        <f>VLOOKUP($M2,'Engagement Team'!$A$2:$G$53,7,FALSE)</f>
        <v>Panda.P6@hotmail.com</v>
      </c>
      <c r="R2" s="101" t="s">
        <v>345</v>
      </c>
      <c r="S2" s="97" t="str">
        <f>VLOOKUP($R2,'Engagement Team'!$A$1:$G$53,2,FALSE)</f>
        <v>Mrs</v>
      </c>
      <c r="T2" s="97" t="str">
        <f>VLOOKUP($R2,'Engagement Team'!$A$1:$G$53,3,FALSE)</f>
        <v>Panda9</v>
      </c>
      <c r="U2" s="97" t="str">
        <f>VLOOKUP($R2,'Engagement Team'!$A$2:$G$53,6,FALSE)</f>
        <v>7007 1234</v>
      </c>
      <c r="V2" s="98" t="str">
        <f>VLOOKUP($R2,'Engagement Team'!$A$2:$G$53,7,FALSE)</f>
        <v>Panda.P9@hotmail.com</v>
      </c>
    </row>
    <row r="3" spans="1:22" s="64" customFormat="1" ht="26.4" customHeight="1">
      <c r="A3" s="63"/>
      <c r="B3" s="85">
        <v>43466</v>
      </c>
      <c r="C3" s="78">
        <v>36527</v>
      </c>
      <c r="D3" s="78" t="s">
        <v>19</v>
      </c>
      <c r="E3" s="86">
        <v>3000</v>
      </c>
      <c r="F3" s="91" t="s">
        <v>205</v>
      </c>
      <c r="G3" s="79" t="s">
        <v>20</v>
      </c>
      <c r="H3" s="80" t="s">
        <v>200</v>
      </c>
      <c r="I3" s="80" t="s">
        <v>201</v>
      </c>
      <c r="J3" s="80" t="s">
        <v>203</v>
      </c>
      <c r="K3" s="80" t="s">
        <v>202</v>
      </c>
      <c r="L3" s="92">
        <v>123456</v>
      </c>
      <c r="M3" s="94" t="s">
        <v>339</v>
      </c>
      <c r="N3" s="81" t="str">
        <f>VLOOKUP($M3,'Engagement Team'!$A$1:$G$53,2,FALSE)</f>
        <v>Mrs</v>
      </c>
      <c r="O3" s="81" t="str">
        <f>VLOOKUP($M3,'Engagement Team'!$A$1:$G$53,3,FALSE)</f>
        <v>Panda3</v>
      </c>
      <c r="P3" s="81" t="str">
        <f>VLOOKUP($M3,'Engagement Team'!$A$2:$G$53,6,FALSE)</f>
        <v>7001 1234</v>
      </c>
      <c r="Q3" s="81" t="str">
        <f>VLOOKUP($M3,'Engagement Team'!$A$2:$G$53,7,FALSE)</f>
        <v>Panda.P3@hotmail.com</v>
      </c>
      <c r="R3" s="80" t="s">
        <v>384</v>
      </c>
      <c r="S3" s="81" t="str">
        <f>VLOOKUP($R3,'Engagement Team'!$A$1:$G$53,2,FALSE)</f>
        <v>Mr</v>
      </c>
      <c r="T3" s="81" t="str">
        <f>VLOOKUP($R3,'Engagement Team'!$A$1:$G$53,3,FALSE)</f>
        <v>Panda48</v>
      </c>
      <c r="U3" s="81" t="str">
        <f>VLOOKUP($R3,'Engagement Team'!$A$2:$G$53,6,FALSE)</f>
        <v>7046 1234</v>
      </c>
      <c r="V3" s="95" t="str">
        <f>VLOOKUP($R3,'Engagement Team'!$A$2:$G$53,7,FALSE)</f>
        <v>Panda.P48@hotmail.com</v>
      </c>
    </row>
    <row r="4" spans="1:22" s="64" customFormat="1" ht="26.4" customHeight="1">
      <c r="A4" s="63"/>
      <c r="B4" s="85">
        <v>43467</v>
      </c>
      <c r="C4" s="78">
        <v>36528</v>
      </c>
      <c r="D4" s="78" t="s">
        <v>19</v>
      </c>
      <c r="E4" s="86">
        <v>4000</v>
      </c>
      <c r="F4" s="91" t="s">
        <v>205</v>
      </c>
      <c r="G4" s="79" t="s">
        <v>20</v>
      </c>
      <c r="H4" s="80" t="s">
        <v>200</v>
      </c>
      <c r="I4" s="80" t="s">
        <v>201</v>
      </c>
      <c r="J4" s="80" t="s">
        <v>203</v>
      </c>
      <c r="K4" s="80" t="s">
        <v>202</v>
      </c>
      <c r="L4" s="92">
        <v>123456</v>
      </c>
      <c r="M4" s="94" t="s">
        <v>342</v>
      </c>
      <c r="N4" s="81" t="str">
        <f>VLOOKUP($M4,'Engagement Team'!$A$1:$G$53,2,FALSE)</f>
        <v>Mrs</v>
      </c>
      <c r="O4" s="81" t="str">
        <f>VLOOKUP($M4,'Engagement Team'!$A$1:$G$53,3,FALSE)</f>
        <v>Panda6</v>
      </c>
      <c r="P4" s="81" t="str">
        <f>VLOOKUP($M4,'Engagement Team'!$A$2:$G$53,6,FALSE)</f>
        <v>7004 1234</v>
      </c>
      <c r="Q4" s="81" t="str">
        <f>VLOOKUP($M4,'Engagement Team'!$A$2:$G$53,7,FALSE)</f>
        <v>Panda.P6@hotmail.com</v>
      </c>
      <c r="R4" s="80" t="s">
        <v>383</v>
      </c>
      <c r="S4" s="81" t="str">
        <f>VLOOKUP($R4,'Engagement Team'!$A$1:$G$53,2,FALSE)</f>
        <v>Mr</v>
      </c>
      <c r="T4" s="81" t="str">
        <f>VLOOKUP($R4,'Engagement Team'!$A$1:$G$53,3,FALSE)</f>
        <v>Panda47</v>
      </c>
      <c r="U4" s="81" t="str">
        <f>VLOOKUP($R4,'Engagement Team'!$A$2:$G$53,6,FALSE)</f>
        <v>7045 1234</v>
      </c>
      <c r="V4" s="95" t="str">
        <f>VLOOKUP($R4,'Engagement Team'!$A$2:$G$53,7,FALSE)</f>
        <v>Panda.P47@hotmail.com</v>
      </c>
    </row>
    <row r="5" spans="1:22" s="64" customFormat="1" ht="26.4" customHeight="1">
      <c r="A5" s="63"/>
      <c r="B5" s="85">
        <v>43468</v>
      </c>
      <c r="C5" s="78">
        <v>36529</v>
      </c>
      <c r="D5" s="78" t="s">
        <v>19</v>
      </c>
      <c r="E5" s="86">
        <v>5000</v>
      </c>
      <c r="F5" s="91" t="s">
        <v>205</v>
      </c>
      <c r="G5" s="79" t="s">
        <v>20</v>
      </c>
      <c r="H5" s="80" t="s">
        <v>200</v>
      </c>
      <c r="I5" s="80" t="s">
        <v>201</v>
      </c>
      <c r="J5" s="80" t="s">
        <v>203</v>
      </c>
      <c r="K5" s="80" t="s">
        <v>202</v>
      </c>
      <c r="L5" s="92">
        <v>123456</v>
      </c>
      <c r="M5" s="94" t="s">
        <v>342</v>
      </c>
      <c r="N5" s="81" t="str">
        <f>VLOOKUP($M5,'Engagement Team'!$A$1:$G$53,2,FALSE)</f>
        <v>Mrs</v>
      </c>
      <c r="O5" s="81" t="str">
        <f>VLOOKUP($M5,'Engagement Team'!$A$1:$G$53,3,FALSE)</f>
        <v>Panda6</v>
      </c>
      <c r="P5" s="81" t="str">
        <f>VLOOKUP($M5,'Engagement Team'!$A$2:$G$53,6,FALSE)</f>
        <v>7004 1234</v>
      </c>
      <c r="Q5" s="81" t="str">
        <f>VLOOKUP($M5,'Engagement Team'!$A$2:$G$53,7,FALSE)</f>
        <v>Panda.P6@hotmail.com</v>
      </c>
      <c r="R5" s="80" t="s">
        <v>357</v>
      </c>
      <c r="S5" s="81" t="str">
        <f>VLOOKUP($R5,'Engagement Team'!$A$1:$G$53,2,FALSE)</f>
        <v>Mr</v>
      </c>
      <c r="T5" s="81" t="str">
        <f>VLOOKUP($R5,'Engagement Team'!$A$1:$G$53,3,FALSE)</f>
        <v>Panda21</v>
      </c>
      <c r="U5" s="81" t="str">
        <f>VLOOKUP($R5,'Engagement Team'!$A$2:$G$53,6,FALSE)</f>
        <v>7019 1234</v>
      </c>
      <c r="V5" s="95" t="str">
        <f>VLOOKUP($R5,'Engagement Team'!$A$2:$G$53,7,FALSE)</f>
        <v>Panda.P21@hotmail.com</v>
      </c>
    </row>
    <row r="6" spans="1:22" s="64" customFormat="1" ht="26.4" customHeight="1">
      <c r="A6" s="63"/>
      <c r="B6" s="85"/>
      <c r="C6" s="78"/>
      <c r="D6" s="78"/>
      <c r="E6" s="86"/>
      <c r="F6" s="91"/>
      <c r="G6" s="79"/>
      <c r="H6" s="80"/>
      <c r="I6" s="80"/>
      <c r="J6" s="80"/>
      <c r="K6" s="80"/>
      <c r="L6" s="92"/>
      <c r="M6" s="94"/>
      <c r="N6" s="81" t="e">
        <f>VLOOKUP($M6,'Engagement Team'!$A$1:$G$53,2,FALSE)</f>
        <v>#N/A</v>
      </c>
      <c r="O6" s="81" t="e">
        <f>VLOOKUP($M6,'Engagement Team'!$A$1:$G$53,3,FALSE)</f>
        <v>#N/A</v>
      </c>
      <c r="P6" s="81" t="e">
        <f>VLOOKUP($M6,'Engagement Team'!$A$2:$G$53,6,FALSE)</f>
        <v>#N/A</v>
      </c>
      <c r="Q6" s="81" t="e">
        <f>VLOOKUP($M6,'Engagement Team'!$A$2:$G$53,7,FALSE)</f>
        <v>#N/A</v>
      </c>
      <c r="R6" s="80"/>
      <c r="S6" s="81" t="e">
        <f>VLOOKUP($R6,'Engagement Team'!$A$1:$G$53,2,FALSE)</f>
        <v>#N/A</v>
      </c>
      <c r="T6" s="81" t="e">
        <f>VLOOKUP($R6,'Engagement Team'!$A$1:$G$53,3,FALSE)</f>
        <v>#N/A</v>
      </c>
      <c r="U6" s="81" t="e">
        <f>VLOOKUP($R6,'Engagement Team'!$A$2:$G$53,6,FALSE)</f>
        <v>#N/A</v>
      </c>
      <c r="V6" s="95" t="e">
        <f>VLOOKUP($R6,'Engagement Team'!$A$2:$G$53,7,FALSE)</f>
        <v>#N/A</v>
      </c>
    </row>
    <row r="7" spans="1:22" s="64" customFormat="1" ht="26.4" customHeight="1">
      <c r="A7" s="63"/>
      <c r="B7" s="85"/>
      <c r="C7" s="78"/>
      <c r="D7" s="78"/>
      <c r="E7" s="86"/>
      <c r="F7" s="91"/>
      <c r="G7" s="79"/>
      <c r="H7" s="80"/>
      <c r="I7" s="80"/>
      <c r="J7" s="80"/>
      <c r="K7" s="80"/>
      <c r="L7" s="92"/>
      <c r="M7" s="94"/>
      <c r="N7" s="81" t="e">
        <f>VLOOKUP($M7,'Engagement Team'!$A$1:$G$53,2,FALSE)</f>
        <v>#N/A</v>
      </c>
      <c r="O7" s="81" t="e">
        <f>VLOOKUP($M7,'Engagement Team'!$A$1:$G$53,3,FALSE)</f>
        <v>#N/A</v>
      </c>
      <c r="P7" s="81" t="e">
        <f>VLOOKUP($M7,'Engagement Team'!$A$2:$G$53,6,FALSE)</f>
        <v>#N/A</v>
      </c>
      <c r="Q7" s="81" t="e">
        <f>VLOOKUP($M7,'Engagement Team'!$A$2:$G$53,7,FALSE)</f>
        <v>#N/A</v>
      </c>
      <c r="R7" s="80"/>
      <c r="S7" s="81" t="e">
        <f>VLOOKUP($R7,'Engagement Team'!$A$1:$G$53,2,FALSE)</f>
        <v>#N/A</v>
      </c>
      <c r="T7" s="81" t="e">
        <f>VLOOKUP($R7,'Engagement Team'!$A$1:$G$53,3,FALSE)</f>
        <v>#N/A</v>
      </c>
      <c r="U7" s="81" t="e">
        <f>VLOOKUP($R7,'Engagement Team'!$A$2:$G$53,6,FALSE)</f>
        <v>#N/A</v>
      </c>
      <c r="V7" s="95" t="e">
        <f>VLOOKUP($R7,'Engagement Team'!$A$2:$G$53,7,FALSE)</f>
        <v>#N/A</v>
      </c>
    </row>
    <row r="8" spans="1:22" s="64" customFormat="1" ht="26.4" customHeight="1">
      <c r="A8" s="63"/>
      <c r="B8" s="85"/>
      <c r="C8" s="78"/>
      <c r="D8" s="78"/>
      <c r="E8" s="86"/>
      <c r="F8" s="91"/>
      <c r="G8" s="79"/>
      <c r="H8" s="80"/>
      <c r="I8" s="80"/>
      <c r="J8" s="80"/>
      <c r="K8" s="80"/>
      <c r="L8" s="92"/>
      <c r="M8" s="94"/>
      <c r="N8" s="81" t="e">
        <f>VLOOKUP($M8,'Engagement Team'!$A$1:$G$53,2,FALSE)</f>
        <v>#N/A</v>
      </c>
      <c r="O8" s="81" t="e">
        <f>VLOOKUP($M8,'Engagement Team'!$A$1:$G$53,3,FALSE)</f>
        <v>#N/A</v>
      </c>
      <c r="P8" s="81" t="e">
        <f>VLOOKUP($M8,'Engagement Team'!$A$2:$G$53,6,FALSE)</f>
        <v>#N/A</v>
      </c>
      <c r="Q8" s="81" t="e">
        <f>VLOOKUP($M8,'Engagement Team'!$A$2:$G$53,7,FALSE)</f>
        <v>#N/A</v>
      </c>
      <c r="R8" s="80"/>
      <c r="S8" s="81" t="e">
        <f>VLOOKUP($R8,'Engagement Team'!$A$1:$G$53,2,FALSE)</f>
        <v>#N/A</v>
      </c>
      <c r="T8" s="81" t="e">
        <f>VLOOKUP($R8,'Engagement Team'!$A$1:$G$53,3,FALSE)</f>
        <v>#N/A</v>
      </c>
      <c r="U8" s="81" t="e">
        <f>VLOOKUP($R8,'Engagement Team'!$A$2:$G$53,6,FALSE)</f>
        <v>#N/A</v>
      </c>
      <c r="V8" s="95" t="e">
        <f>VLOOKUP($R8,'Engagement Team'!$A$2:$G$53,7,FALSE)</f>
        <v>#N/A</v>
      </c>
    </row>
    <row r="9" spans="1:22" s="64" customFormat="1" ht="26.4" customHeight="1">
      <c r="A9" s="63"/>
      <c r="B9" s="85"/>
      <c r="C9" s="78"/>
      <c r="D9" s="78"/>
      <c r="E9" s="86"/>
      <c r="F9" s="91"/>
      <c r="G9" s="79"/>
      <c r="H9" s="80"/>
      <c r="I9" s="80"/>
      <c r="J9" s="80"/>
      <c r="K9" s="80"/>
      <c r="L9" s="92"/>
      <c r="M9" s="94"/>
      <c r="N9" s="81" t="e">
        <f>VLOOKUP($M9,'Engagement Team'!$A$1:$G$53,2,FALSE)</f>
        <v>#N/A</v>
      </c>
      <c r="O9" s="81" t="e">
        <f>VLOOKUP($M9,'Engagement Team'!$A$1:$G$53,3,FALSE)</f>
        <v>#N/A</v>
      </c>
      <c r="P9" s="81" t="e">
        <f>VLOOKUP($M9,'Engagement Team'!$A$2:$G$53,6,FALSE)</f>
        <v>#N/A</v>
      </c>
      <c r="Q9" s="81" t="e">
        <f>VLOOKUP($M9,'Engagement Team'!$A$2:$G$53,7,FALSE)</f>
        <v>#N/A</v>
      </c>
      <c r="R9" s="80"/>
      <c r="S9" s="81" t="e">
        <f>VLOOKUP($R9,'Engagement Team'!$A$1:$G$53,2,FALSE)</f>
        <v>#N/A</v>
      </c>
      <c r="T9" s="81" t="e">
        <f>VLOOKUP($R9,'Engagement Team'!$A$1:$G$53,3,FALSE)</f>
        <v>#N/A</v>
      </c>
      <c r="U9" s="81" t="e">
        <f>VLOOKUP($R9,'Engagement Team'!$A$2:$G$53,6,FALSE)</f>
        <v>#N/A</v>
      </c>
      <c r="V9" s="95" t="e">
        <f>VLOOKUP($R9,'Engagement Team'!$A$2:$G$53,7,FALSE)</f>
        <v>#N/A</v>
      </c>
    </row>
    <row r="10" spans="1:22" s="64" customFormat="1" ht="26.4" customHeight="1">
      <c r="A10" s="63"/>
      <c r="B10" s="85"/>
      <c r="C10" s="78"/>
      <c r="D10" s="78"/>
      <c r="E10" s="86"/>
      <c r="F10" s="91"/>
      <c r="G10" s="79"/>
      <c r="H10" s="80"/>
      <c r="I10" s="80"/>
      <c r="J10" s="80"/>
      <c r="K10" s="80"/>
      <c r="L10" s="92"/>
      <c r="M10" s="94"/>
      <c r="N10" s="81" t="e">
        <f>VLOOKUP($M10,'Engagement Team'!$A$1:$G$53,2,FALSE)</f>
        <v>#N/A</v>
      </c>
      <c r="O10" s="81" t="e">
        <f>VLOOKUP($M10,'Engagement Team'!$A$1:$G$53,3,FALSE)</f>
        <v>#N/A</v>
      </c>
      <c r="P10" s="81" t="e">
        <f>VLOOKUP($M10,'Engagement Team'!$A$2:$G$53,6,FALSE)</f>
        <v>#N/A</v>
      </c>
      <c r="Q10" s="81" t="e">
        <f>VLOOKUP($M10,'Engagement Team'!$A$2:$G$53,7,FALSE)</f>
        <v>#N/A</v>
      </c>
      <c r="R10" s="80"/>
      <c r="S10" s="81" t="e">
        <f>VLOOKUP($R10,'Engagement Team'!$A$1:$G$53,2,FALSE)</f>
        <v>#N/A</v>
      </c>
      <c r="T10" s="81" t="e">
        <f>VLOOKUP($R10,'Engagement Team'!$A$1:$G$53,3,FALSE)</f>
        <v>#N/A</v>
      </c>
      <c r="U10" s="81" t="e">
        <f>VLOOKUP($R10,'Engagement Team'!$A$2:$G$53,6,FALSE)</f>
        <v>#N/A</v>
      </c>
      <c r="V10" s="95" t="e">
        <f>VLOOKUP($R10,'Engagement Team'!$A$2:$G$53,7,FALSE)</f>
        <v>#N/A</v>
      </c>
    </row>
    <row r="11" spans="1:22" s="64" customFormat="1" ht="26.4" customHeight="1">
      <c r="A11" s="63"/>
      <c r="B11" s="85"/>
      <c r="C11" s="78"/>
      <c r="D11" s="78"/>
      <c r="E11" s="86"/>
      <c r="F11" s="91"/>
      <c r="G11" s="79"/>
      <c r="H11" s="80"/>
      <c r="I11" s="80"/>
      <c r="J11" s="80"/>
      <c r="K11" s="80"/>
      <c r="L11" s="92"/>
      <c r="M11" s="94"/>
      <c r="N11" s="81" t="e">
        <f>VLOOKUP($M11,'Engagement Team'!$A$1:$G$53,2,FALSE)</f>
        <v>#N/A</v>
      </c>
      <c r="O11" s="81" t="e">
        <f>VLOOKUP($M11,'Engagement Team'!$A$1:$G$53,3,FALSE)</f>
        <v>#N/A</v>
      </c>
      <c r="P11" s="81" t="e">
        <f>VLOOKUP($M11,'Engagement Team'!$A$2:$G$53,6,FALSE)</f>
        <v>#N/A</v>
      </c>
      <c r="Q11" s="81" t="e">
        <f>VLOOKUP($M11,'Engagement Team'!$A$2:$G$53,7,FALSE)</f>
        <v>#N/A</v>
      </c>
      <c r="R11" s="80"/>
      <c r="S11" s="81" t="e">
        <f>VLOOKUP($R11,'Engagement Team'!$A$1:$G$53,2,FALSE)</f>
        <v>#N/A</v>
      </c>
      <c r="T11" s="81" t="e">
        <f>VLOOKUP($R11,'Engagement Team'!$A$1:$G$53,3,FALSE)</f>
        <v>#N/A</v>
      </c>
      <c r="U11" s="81" t="e">
        <f>VLOOKUP($R11,'Engagement Team'!$A$2:$G$53,6,FALSE)</f>
        <v>#N/A</v>
      </c>
      <c r="V11" s="95" t="e">
        <f>VLOOKUP($R11,'Engagement Team'!$A$2:$G$53,7,FALSE)</f>
        <v>#N/A</v>
      </c>
    </row>
    <row r="12" spans="1:22" s="50" customFormat="1" ht="20.399999999999999" customHeight="1" thickBot="1">
      <c r="A12" s="53" t="s">
        <v>17</v>
      </c>
      <c r="B12" s="66">
        <v>43466</v>
      </c>
      <c r="C12" s="67">
        <v>43466</v>
      </c>
      <c r="D12" s="67" t="s">
        <v>19</v>
      </c>
      <c r="E12" s="73">
        <v>1000</v>
      </c>
      <c r="F12" s="76" t="s">
        <v>205</v>
      </c>
      <c r="G12" s="68" t="s">
        <v>20</v>
      </c>
      <c r="H12" s="69" t="s">
        <v>200</v>
      </c>
      <c r="I12" s="69" t="s">
        <v>201</v>
      </c>
      <c r="J12" s="69" t="s">
        <v>203</v>
      </c>
      <c r="K12" s="69" t="s">
        <v>202</v>
      </c>
      <c r="L12" s="77">
        <v>123456</v>
      </c>
      <c r="M12" s="96" t="s">
        <v>212</v>
      </c>
      <c r="N12" s="70" t="s">
        <v>207</v>
      </c>
      <c r="O12" s="70" t="s">
        <v>208</v>
      </c>
      <c r="P12" s="70" t="s">
        <v>209</v>
      </c>
      <c r="Q12" s="70" t="s">
        <v>210</v>
      </c>
      <c r="R12" s="70" t="s">
        <v>212</v>
      </c>
      <c r="S12" s="70" t="s">
        <v>207</v>
      </c>
      <c r="T12" s="70" t="s">
        <v>208</v>
      </c>
      <c r="U12" s="70" t="s">
        <v>209</v>
      </c>
      <c r="V12" s="71" t="s">
        <v>210</v>
      </c>
    </row>
    <row r="13" spans="1:22" ht="15" thickBot="1">
      <c r="B13" s="106" t="s">
        <v>16</v>
      </c>
      <c r="C13" s="107"/>
      <c r="D13" s="107"/>
      <c r="E13" s="108"/>
      <c r="F13" s="109" t="s">
        <v>204</v>
      </c>
      <c r="G13" s="110"/>
      <c r="H13" s="110"/>
      <c r="I13" s="110"/>
      <c r="J13" s="110"/>
      <c r="K13" s="110"/>
      <c r="L13" s="111"/>
      <c r="M13" s="112" t="s">
        <v>211</v>
      </c>
      <c r="N13" s="113"/>
      <c r="O13" s="113"/>
      <c r="P13" s="113"/>
      <c r="Q13" s="113"/>
      <c r="R13" s="113"/>
      <c r="S13" s="113"/>
      <c r="T13" s="113"/>
      <c r="U13" s="113"/>
      <c r="V13" s="114"/>
    </row>
  </sheetData>
  <sheetProtection selectLockedCells="1"/>
  <mergeCells count="3">
    <mergeCell ref="B13:E13"/>
    <mergeCell ref="F13:L13"/>
    <mergeCell ref="M13:V13"/>
  </mergeCells>
  <dataValidations count="2">
    <dataValidation type="whole" errorStyle="information" operator="greaterThanOrEqual" allowBlank="1" showInputMessage="1" showErrorMessage="1" errorTitle="Panda Says Hi" error="Please kindly enter a numerical entry" sqref="L2:L11" xr:uid="{5F2DD20B-77F7-4FCC-A0F8-866D704B2311}">
      <formula1>0</formula1>
    </dataValidation>
    <dataValidation type="date" errorStyle="information" operator="greaterThanOrEqual" allowBlank="1" showInputMessage="1" showErrorMessage="1" errorTitle="Please enter a valid date" sqref="B2:C11" xr:uid="{ABD63646-B63C-44F9-A074-F0F929E9EEAB}">
      <formula1>32874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0C7E3C3-A19E-4513-9487-63B2AC8630EE}">
          <x14:formula1>
            <xm:f>Currencies!$B$3:$B$181</xm:f>
          </x14:formula1>
          <xm:sqref>D2:D11</xm:sqref>
        </x14:dataValidation>
        <x14:dataValidation type="list" allowBlank="1" showInputMessage="1" showErrorMessage="1" xr:uid="{E1382D2F-6AA2-4D6F-9F12-FC90565D14AA}">
          <x14:formula1>
            <xm:f>OFFSET('Engagement Team'!$A$1,1,0,COUNTA(OFFSET('Engagement Team'!$A$1,1,0,100,1)),1)</xm:f>
          </x14:formula1>
          <xm:sqref>R2:R11</xm:sqref>
        </x14:dataValidation>
        <x14:dataValidation type="list" errorStyle="information" allowBlank="1" showInputMessage="1" showErrorMessage="1" errorTitle="Initial Invalid" error="Please Re-enter" xr:uid="{FB1DEA3E-69D1-403F-AB7E-A8D43645D9B3}">
          <x14:formula1>
            <xm:f>OFFSET('Engagement Team'!$A$1,1,0,COUNTA(OFFSET('Engagement Team'!$A$1,1,0,100,1)),1)</xm:f>
          </x14:formula1>
          <xm:sqref>M2:M11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G53"/>
  <sheetViews>
    <sheetView view="pageBreakPreview" zoomScale="75" zoomScaleNormal="74" workbookViewId="0">
      <selection activeCell="F30" sqref="F30"/>
    </sheetView>
  </sheetViews>
  <sheetFormatPr defaultColWidth="9.109375" defaultRowHeight="13.2"/>
  <cols>
    <col min="1" max="2" width="9.5546875" style="39" customWidth="1"/>
    <col min="3" max="3" width="20.44140625" style="1" customWidth="1"/>
    <col min="4" max="4" width="9.109375" style="2"/>
    <col min="5" max="5" width="16.88671875" style="1" bestFit="1" customWidth="1"/>
    <col min="6" max="6" width="13" style="3" customWidth="1"/>
    <col min="7" max="7" width="31.88671875" style="4" customWidth="1"/>
    <col min="8" max="16384" width="9.109375" style="1"/>
  </cols>
  <sheetData>
    <row r="1" spans="1:7">
      <c r="A1" s="40" t="s">
        <v>1</v>
      </c>
      <c r="B1" s="40" t="s">
        <v>213</v>
      </c>
      <c r="C1" s="6" t="s">
        <v>0</v>
      </c>
      <c r="D1" s="6" t="s">
        <v>2</v>
      </c>
      <c r="E1" s="6" t="s">
        <v>3</v>
      </c>
      <c r="F1" s="6" t="s">
        <v>4</v>
      </c>
      <c r="G1" s="6" t="s">
        <v>5</v>
      </c>
    </row>
    <row r="2" spans="1:7" s="9" customFormat="1">
      <c r="A2" s="41" t="s">
        <v>290</v>
      </c>
      <c r="B2" s="41" t="s">
        <v>214</v>
      </c>
      <c r="C2" s="7" t="s">
        <v>285</v>
      </c>
      <c r="D2" s="8">
        <v>1</v>
      </c>
      <c r="E2" s="8" t="s">
        <v>6</v>
      </c>
      <c r="F2" s="21" t="s">
        <v>233</v>
      </c>
      <c r="G2" s="22" t="s">
        <v>389</v>
      </c>
    </row>
    <row r="3" spans="1:7" s="9" customFormat="1">
      <c r="A3" s="42" t="s">
        <v>338</v>
      </c>
      <c r="B3" s="41" t="s">
        <v>441</v>
      </c>
      <c r="C3" s="7" t="s">
        <v>286</v>
      </c>
      <c r="D3" s="8">
        <v>2</v>
      </c>
      <c r="E3" s="8" t="s">
        <v>6</v>
      </c>
      <c r="F3" s="21" t="s">
        <v>234</v>
      </c>
      <c r="G3" s="23" t="s">
        <v>390</v>
      </c>
    </row>
    <row r="4" spans="1:7" s="9" customFormat="1">
      <c r="A4" s="41" t="s">
        <v>339</v>
      </c>
      <c r="B4" s="41" t="s">
        <v>441</v>
      </c>
      <c r="C4" s="7" t="s">
        <v>287</v>
      </c>
      <c r="D4" s="10">
        <v>3</v>
      </c>
      <c r="E4" s="8" t="s">
        <v>6</v>
      </c>
      <c r="F4" s="21" t="s">
        <v>235</v>
      </c>
      <c r="G4" s="23" t="s">
        <v>391</v>
      </c>
    </row>
    <row r="5" spans="1:7" s="9" customFormat="1">
      <c r="A5" s="41" t="s">
        <v>340</v>
      </c>
      <c r="B5" s="41" t="s">
        <v>214</v>
      </c>
      <c r="C5" s="7" t="s">
        <v>288</v>
      </c>
      <c r="D5" s="8">
        <v>4</v>
      </c>
      <c r="E5" s="8" t="s">
        <v>6</v>
      </c>
      <c r="F5" s="21" t="s">
        <v>236</v>
      </c>
      <c r="G5" s="23" t="s">
        <v>392</v>
      </c>
    </row>
    <row r="6" spans="1:7" s="9" customFormat="1">
      <c r="A6" s="43" t="s">
        <v>341</v>
      </c>
      <c r="B6" s="41" t="s">
        <v>441</v>
      </c>
      <c r="C6" s="7" t="s">
        <v>289</v>
      </c>
      <c r="D6" s="8">
        <v>5</v>
      </c>
      <c r="E6" s="8" t="s">
        <v>6</v>
      </c>
      <c r="F6" s="21" t="s">
        <v>237</v>
      </c>
      <c r="G6" s="23" t="s">
        <v>393</v>
      </c>
    </row>
    <row r="7" spans="1:7" s="14" customFormat="1">
      <c r="A7" s="44" t="s">
        <v>342</v>
      </c>
      <c r="B7" s="44" t="s">
        <v>441</v>
      </c>
      <c r="C7" s="24" t="s">
        <v>291</v>
      </c>
      <c r="D7" s="13">
        <v>6</v>
      </c>
      <c r="E7" s="13" t="s">
        <v>13</v>
      </c>
      <c r="F7" s="25" t="s">
        <v>238</v>
      </c>
      <c r="G7" s="25" t="s">
        <v>394</v>
      </c>
    </row>
    <row r="8" spans="1:7" s="14" customFormat="1">
      <c r="A8" s="44" t="s">
        <v>343</v>
      </c>
      <c r="B8" s="44" t="s">
        <v>441</v>
      </c>
      <c r="C8" s="24" t="s">
        <v>292</v>
      </c>
      <c r="D8" s="13">
        <v>7</v>
      </c>
      <c r="E8" s="13" t="s">
        <v>13</v>
      </c>
      <c r="F8" s="25" t="s">
        <v>239</v>
      </c>
      <c r="G8" s="25" t="s">
        <v>395</v>
      </c>
    </row>
    <row r="9" spans="1:7" s="14" customFormat="1">
      <c r="A9" s="44" t="s">
        <v>344</v>
      </c>
      <c r="B9" s="44" t="s">
        <v>441</v>
      </c>
      <c r="C9" s="26" t="s">
        <v>293</v>
      </c>
      <c r="D9" s="13">
        <v>8</v>
      </c>
      <c r="E9" s="13" t="s">
        <v>7</v>
      </c>
      <c r="F9" s="25" t="s">
        <v>240</v>
      </c>
      <c r="G9" s="25" t="s">
        <v>396</v>
      </c>
    </row>
    <row r="10" spans="1:7" s="14" customFormat="1">
      <c r="A10" s="44" t="s">
        <v>345</v>
      </c>
      <c r="B10" s="44" t="s">
        <v>441</v>
      </c>
      <c r="C10" s="26" t="s">
        <v>294</v>
      </c>
      <c r="D10" s="13">
        <v>9</v>
      </c>
      <c r="E10" s="13" t="s">
        <v>7</v>
      </c>
      <c r="F10" s="25" t="s">
        <v>241</v>
      </c>
      <c r="G10" s="25" t="s">
        <v>397</v>
      </c>
    </row>
    <row r="11" spans="1:7" s="16" customFormat="1">
      <c r="A11" s="45" t="s">
        <v>346</v>
      </c>
      <c r="B11" s="45" t="s">
        <v>214</v>
      </c>
      <c r="C11" s="17" t="s">
        <v>295</v>
      </c>
      <c r="D11" s="15">
        <v>10</v>
      </c>
      <c r="E11" s="15" t="s">
        <v>14</v>
      </c>
      <c r="F11" s="27" t="s">
        <v>242</v>
      </c>
      <c r="G11" s="28" t="s">
        <v>398</v>
      </c>
    </row>
    <row r="12" spans="1:7" s="16" customFormat="1">
      <c r="A12" s="45" t="s">
        <v>347</v>
      </c>
      <c r="B12" s="45" t="s">
        <v>214</v>
      </c>
      <c r="C12" s="17" t="s">
        <v>296</v>
      </c>
      <c r="D12" s="15">
        <v>11</v>
      </c>
      <c r="E12" s="15" t="s">
        <v>14</v>
      </c>
      <c r="F12" s="27" t="s">
        <v>243</v>
      </c>
      <c r="G12" s="28" t="s">
        <v>399</v>
      </c>
    </row>
    <row r="13" spans="1:7" s="16" customFormat="1">
      <c r="A13" s="45" t="s">
        <v>348</v>
      </c>
      <c r="B13" s="45" t="s">
        <v>214</v>
      </c>
      <c r="C13" s="17" t="s">
        <v>297</v>
      </c>
      <c r="D13" s="15">
        <v>12</v>
      </c>
      <c r="E13" s="15" t="s">
        <v>8</v>
      </c>
      <c r="F13" s="27" t="s">
        <v>244</v>
      </c>
      <c r="G13" s="28" t="s">
        <v>400</v>
      </c>
    </row>
    <row r="14" spans="1:7" s="16" customFormat="1">
      <c r="A14" s="45" t="s">
        <v>349</v>
      </c>
      <c r="B14" s="45" t="s">
        <v>441</v>
      </c>
      <c r="C14" s="17" t="s">
        <v>298</v>
      </c>
      <c r="D14" s="15">
        <v>13</v>
      </c>
      <c r="E14" s="15" t="s">
        <v>8</v>
      </c>
      <c r="F14" s="27" t="s">
        <v>245</v>
      </c>
      <c r="G14" s="28" t="s">
        <v>401</v>
      </c>
    </row>
    <row r="15" spans="1:7" s="16" customFormat="1">
      <c r="A15" s="45" t="s">
        <v>350</v>
      </c>
      <c r="B15" s="45" t="s">
        <v>441</v>
      </c>
      <c r="C15" s="17" t="s">
        <v>299</v>
      </c>
      <c r="D15" s="15">
        <v>14</v>
      </c>
      <c r="E15" s="15" t="s">
        <v>8</v>
      </c>
      <c r="F15" s="27" t="s">
        <v>246</v>
      </c>
      <c r="G15" s="28" t="s">
        <v>402</v>
      </c>
    </row>
    <row r="16" spans="1:7" s="16" customFormat="1">
      <c r="A16" s="46" t="s">
        <v>351</v>
      </c>
      <c r="B16" s="45" t="s">
        <v>214</v>
      </c>
      <c r="C16" s="17" t="s">
        <v>300</v>
      </c>
      <c r="D16" s="15">
        <v>15</v>
      </c>
      <c r="E16" s="15" t="s">
        <v>8</v>
      </c>
      <c r="F16" s="27" t="s">
        <v>247</v>
      </c>
      <c r="G16" s="28" t="s">
        <v>403</v>
      </c>
    </row>
    <row r="17" spans="1:7" s="16" customFormat="1">
      <c r="A17" s="46" t="s">
        <v>352</v>
      </c>
      <c r="B17" s="45" t="s">
        <v>214</v>
      </c>
      <c r="C17" s="17" t="s">
        <v>301</v>
      </c>
      <c r="D17" s="15">
        <v>16</v>
      </c>
      <c r="E17" s="15" t="s">
        <v>8</v>
      </c>
      <c r="F17" s="27" t="s">
        <v>248</v>
      </c>
      <c r="G17" s="28" t="s">
        <v>404</v>
      </c>
    </row>
    <row r="18" spans="1:7" s="16" customFormat="1">
      <c r="A18" s="46" t="s">
        <v>353</v>
      </c>
      <c r="B18" s="45" t="s">
        <v>214</v>
      </c>
      <c r="C18" s="17" t="s">
        <v>302</v>
      </c>
      <c r="D18" s="15">
        <v>17</v>
      </c>
      <c r="E18" s="15" t="s">
        <v>8</v>
      </c>
      <c r="F18" s="27" t="s">
        <v>249</v>
      </c>
      <c r="G18" s="28" t="s">
        <v>405</v>
      </c>
    </row>
    <row r="19" spans="1:7" s="16" customFormat="1">
      <c r="A19" s="46" t="s">
        <v>354</v>
      </c>
      <c r="B19" s="45" t="s">
        <v>214</v>
      </c>
      <c r="C19" s="17" t="s">
        <v>303</v>
      </c>
      <c r="D19" s="15">
        <v>18</v>
      </c>
      <c r="E19" s="15" t="s">
        <v>8</v>
      </c>
      <c r="F19" s="27" t="s">
        <v>250</v>
      </c>
      <c r="G19" s="28" t="s">
        <v>406</v>
      </c>
    </row>
    <row r="20" spans="1:7" s="16" customFormat="1">
      <c r="A20" s="45" t="s">
        <v>355</v>
      </c>
      <c r="B20" s="45" t="s">
        <v>214</v>
      </c>
      <c r="C20" s="17" t="s">
        <v>304</v>
      </c>
      <c r="D20" s="15">
        <v>19</v>
      </c>
      <c r="E20" s="15" t="s">
        <v>8</v>
      </c>
      <c r="F20" s="27" t="s">
        <v>251</v>
      </c>
      <c r="G20" s="28" t="s">
        <v>407</v>
      </c>
    </row>
    <row r="21" spans="1:7" s="12" customFormat="1">
      <c r="A21" s="47" t="s">
        <v>356</v>
      </c>
      <c r="B21" s="47" t="s">
        <v>214</v>
      </c>
      <c r="C21" s="29" t="s">
        <v>305</v>
      </c>
      <c r="D21" s="11">
        <v>20</v>
      </c>
      <c r="E21" s="11" t="s">
        <v>9</v>
      </c>
      <c r="F21" s="30" t="s">
        <v>252</v>
      </c>
      <c r="G21" s="31" t="s">
        <v>408</v>
      </c>
    </row>
    <row r="22" spans="1:7" s="12" customFormat="1" ht="13.8">
      <c r="A22" s="47" t="s">
        <v>357</v>
      </c>
      <c r="B22" s="47" t="s">
        <v>214</v>
      </c>
      <c r="C22" s="29" t="s">
        <v>306</v>
      </c>
      <c r="D22" s="11">
        <v>21</v>
      </c>
      <c r="E22" s="11" t="s">
        <v>9</v>
      </c>
      <c r="F22" s="30" t="s">
        <v>253</v>
      </c>
      <c r="G22" s="38" t="s">
        <v>409</v>
      </c>
    </row>
    <row r="23" spans="1:7" s="12" customFormat="1">
      <c r="A23" s="47" t="s">
        <v>358</v>
      </c>
      <c r="B23" s="47" t="s">
        <v>214</v>
      </c>
      <c r="C23" s="32" t="s">
        <v>307</v>
      </c>
      <c r="D23" s="11">
        <v>22</v>
      </c>
      <c r="E23" s="11" t="s">
        <v>9</v>
      </c>
      <c r="F23" s="30" t="s">
        <v>254</v>
      </c>
      <c r="G23" s="31" t="s">
        <v>410</v>
      </c>
    </row>
    <row r="24" spans="1:7" s="12" customFormat="1">
      <c r="A24" s="47" t="s">
        <v>359</v>
      </c>
      <c r="B24" s="47" t="s">
        <v>214</v>
      </c>
      <c r="C24" s="29" t="s">
        <v>308</v>
      </c>
      <c r="D24" s="11">
        <v>23</v>
      </c>
      <c r="E24" s="11" t="s">
        <v>9</v>
      </c>
      <c r="F24" s="30" t="s">
        <v>255</v>
      </c>
      <c r="G24" s="31" t="s">
        <v>411</v>
      </c>
    </row>
    <row r="25" spans="1:7" s="12" customFormat="1">
      <c r="A25" s="47" t="s">
        <v>360</v>
      </c>
      <c r="B25" s="47" t="s">
        <v>214</v>
      </c>
      <c r="C25" s="29" t="s">
        <v>309</v>
      </c>
      <c r="D25" s="11">
        <v>24</v>
      </c>
      <c r="E25" s="11" t="s">
        <v>9</v>
      </c>
      <c r="F25" s="30" t="s">
        <v>256</v>
      </c>
      <c r="G25" s="31" t="s">
        <v>412</v>
      </c>
    </row>
    <row r="26" spans="1:7" s="19" customFormat="1">
      <c r="A26" s="48" t="s">
        <v>361</v>
      </c>
      <c r="B26" s="48" t="s">
        <v>214</v>
      </c>
      <c r="C26" s="33" t="s">
        <v>310</v>
      </c>
      <c r="D26" s="18">
        <v>25</v>
      </c>
      <c r="E26" s="18" t="s">
        <v>10</v>
      </c>
      <c r="F26" s="34" t="s">
        <v>257</v>
      </c>
      <c r="G26" s="35" t="s">
        <v>413</v>
      </c>
    </row>
    <row r="27" spans="1:7" s="19" customFormat="1">
      <c r="A27" s="48" t="s">
        <v>362</v>
      </c>
      <c r="B27" s="48" t="s">
        <v>214</v>
      </c>
      <c r="C27" s="33" t="s">
        <v>311</v>
      </c>
      <c r="D27" s="18">
        <v>26</v>
      </c>
      <c r="E27" s="18" t="s">
        <v>10</v>
      </c>
      <c r="F27" s="34" t="s">
        <v>258</v>
      </c>
      <c r="G27" s="35" t="s">
        <v>414</v>
      </c>
    </row>
    <row r="28" spans="1:7" s="19" customFormat="1">
      <c r="A28" s="48" t="s">
        <v>363</v>
      </c>
      <c r="B28" s="48" t="s">
        <v>441</v>
      </c>
      <c r="C28" s="33" t="s">
        <v>312</v>
      </c>
      <c r="D28" s="18">
        <v>27</v>
      </c>
      <c r="E28" s="18" t="s">
        <v>10</v>
      </c>
      <c r="F28" s="34" t="s">
        <v>259</v>
      </c>
      <c r="G28" s="35" t="s">
        <v>415</v>
      </c>
    </row>
    <row r="29" spans="1:7" s="19" customFormat="1">
      <c r="A29" s="48" t="s">
        <v>364</v>
      </c>
      <c r="B29" s="48" t="s">
        <v>441</v>
      </c>
      <c r="C29" s="33" t="s">
        <v>313</v>
      </c>
      <c r="D29" s="18">
        <v>28</v>
      </c>
      <c r="E29" s="18" t="s">
        <v>10</v>
      </c>
      <c r="F29" s="34" t="s">
        <v>260</v>
      </c>
      <c r="G29" s="18" t="s">
        <v>416</v>
      </c>
    </row>
    <row r="30" spans="1:7" s="19" customFormat="1">
      <c r="A30" s="48" t="s">
        <v>365</v>
      </c>
      <c r="B30" s="48" t="s">
        <v>214</v>
      </c>
      <c r="C30" s="33" t="s">
        <v>314</v>
      </c>
      <c r="D30" s="18">
        <v>29</v>
      </c>
      <c r="E30" s="18" t="s">
        <v>10</v>
      </c>
      <c r="F30" s="34" t="s">
        <v>261</v>
      </c>
      <c r="G30" s="18" t="s">
        <v>417</v>
      </c>
    </row>
    <row r="31" spans="1:7" s="19" customFormat="1">
      <c r="A31" s="48" t="s">
        <v>366</v>
      </c>
      <c r="B31" s="48" t="s">
        <v>214</v>
      </c>
      <c r="C31" s="33" t="s">
        <v>315</v>
      </c>
      <c r="D31" s="18">
        <v>30</v>
      </c>
      <c r="E31" s="18" t="s">
        <v>10</v>
      </c>
      <c r="F31" s="34" t="s">
        <v>262</v>
      </c>
      <c r="G31" s="18" t="s">
        <v>418</v>
      </c>
    </row>
    <row r="32" spans="1:7" s="19" customFormat="1">
      <c r="A32" s="48" t="s">
        <v>367</v>
      </c>
      <c r="B32" s="48" t="s">
        <v>214</v>
      </c>
      <c r="C32" s="33" t="s">
        <v>316</v>
      </c>
      <c r="D32" s="18">
        <v>31</v>
      </c>
      <c r="E32" s="18" t="s">
        <v>10</v>
      </c>
      <c r="F32" s="34" t="s">
        <v>263</v>
      </c>
      <c r="G32" s="18" t="s">
        <v>419</v>
      </c>
    </row>
    <row r="33" spans="1:7" s="19" customFormat="1">
      <c r="A33" s="48" t="s">
        <v>368</v>
      </c>
      <c r="B33" s="48" t="s">
        <v>441</v>
      </c>
      <c r="C33" s="33" t="s">
        <v>317</v>
      </c>
      <c r="D33" s="18">
        <v>32</v>
      </c>
      <c r="E33" s="18" t="s">
        <v>11</v>
      </c>
      <c r="F33" s="34" t="s">
        <v>264</v>
      </c>
      <c r="G33" s="18" t="s">
        <v>420</v>
      </c>
    </row>
    <row r="34" spans="1:7" s="19" customFormat="1">
      <c r="A34" s="48" t="s">
        <v>369</v>
      </c>
      <c r="B34" s="48" t="s">
        <v>441</v>
      </c>
      <c r="C34" s="20" t="s">
        <v>318</v>
      </c>
      <c r="D34" s="18">
        <v>33</v>
      </c>
      <c r="E34" s="18" t="s">
        <v>11</v>
      </c>
      <c r="F34" s="34" t="s">
        <v>265</v>
      </c>
      <c r="G34" s="18" t="s">
        <v>421</v>
      </c>
    </row>
    <row r="35" spans="1:7" s="19" customFormat="1">
      <c r="A35" s="48" t="s">
        <v>370</v>
      </c>
      <c r="B35" s="48" t="s">
        <v>441</v>
      </c>
      <c r="C35" s="20" t="s">
        <v>319</v>
      </c>
      <c r="D35" s="18">
        <v>34</v>
      </c>
      <c r="E35" s="18" t="s">
        <v>11</v>
      </c>
      <c r="F35" s="34" t="s">
        <v>266</v>
      </c>
      <c r="G35" s="18" t="s">
        <v>422</v>
      </c>
    </row>
    <row r="36" spans="1:7" s="19" customFormat="1">
      <c r="A36" s="48" t="s">
        <v>371</v>
      </c>
      <c r="B36" s="48" t="s">
        <v>214</v>
      </c>
      <c r="C36" s="33" t="s">
        <v>320</v>
      </c>
      <c r="D36" s="18">
        <v>35</v>
      </c>
      <c r="E36" s="18" t="s">
        <v>11</v>
      </c>
      <c r="F36" s="34" t="s">
        <v>267</v>
      </c>
      <c r="G36" s="35" t="s">
        <v>423</v>
      </c>
    </row>
    <row r="37" spans="1:7" s="19" customFormat="1">
      <c r="A37" s="48" t="s">
        <v>372</v>
      </c>
      <c r="B37" s="48" t="s">
        <v>214</v>
      </c>
      <c r="C37" s="20" t="s">
        <v>321</v>
      </c>
      <c r="D37" s="18">
        <v>36</v>
      </c>
      <c r="E37" s="18" t="s">
        <v>11</v>
      </c>
      <c r="F37" s="34" t="s">
        <v>268</v>
      </c>
      <c r="G37" s="18" t="s">
        <v>424</v>
      </c>
    </row>
    <row r="38" spans="1:7" s="19" customFormat="1">
      <c r="A38" s="48" t="s">
        <v>373</v>
      </c>
      <c r="B38" s="48" t="s">
        <v>441</v>
      </c>
      <c r="C38" s="20" t="s">
        <v>322</v>
      </c>
      <c r="D38" s="18">
        <v>37</v>
      </c>
      <c r="E38" s="18" t="s">
        <v>11</v>
      </c>
      <c r="F38" s="34" t="s">
        <v>269</v>
      </c>
      <c r="G38" s="35" t="s">
        <v>425</v>
      </c>
    </row>
    <row r="39" spans="1:7" s="19" customFormat="1">
      <c r="A39" s="48" t="s">
        <v>374</v>
      </c>
      <c r="B39" s="48" t="s">
        <v>214</v>
      </c>
      <c r="C39" s="20" t="s">
        <v>323</v>
      </c>
      <c r="D39" s="18">
        <v>38</v>
      </c>
      <c r="E39" s="18" t="s">
        <v>11</v>
      </c>
      <c r="F39" s="34" t="s">
        <v>270</v>
      </c>
      <c r="G39" s="35" t="s">
        <v>426</v>
      </c>
    </row>
    <row r="40" spans="1:7" s="19" customFormat="1">
      <c r="A40" s="48" t="s">
        <v>375</v>
      </c>
      <c r="B40" s="48" t="s">
        <v>441</v>
      </c>
      <c r="C40" s="20" t="s">
        <v>324</v>
      </c>
      <c r="D40" s="18">
        <v>39</v>
      </c>
      <c r="E40" s="18" t="s">
        <v>11</v>
      </c>
      <c r="F40" s="34" t="s">
        <v>271</v>
      </c>
      <c r="G40" s="35" t="s">
        <v>427</v>
      </c>
    </row>
    <row r="41" spans="1:7">
      <c r="A41" s="49" t="s">
        <v>376</v>
      </c>
      <c r="B41" s="49" t="s">
        <v>441</v>
      </c>
      <c r="C41" s="5" t="s">
        <v>325</v>
      </c>
      <c r="D41" s="2">
        <v>40</v>
      </c>
      <c r="E41" s="2" t="s">
        <v>12</v>
      </c>
      <c r="F41" s="36" t="s">
        <v>272</v>
      </c>
      <c r="G41" s="2" t="s">
        <v>428</v>
      </c>
    </row>
    <row r="42" spans="1:7" hidden="1">
      <c r="A42" s="49" t="s">
        <v>377</v>
      </c>
      <c r="B42" s="49" t="s">
        <v>214</v>
      </c>
      <c r="C42" s="5" t="s">
        <v>326</v>
      </c>
      <c r="D42" s="2">
        <v>41</v>
      </c>
      <c r="E42" s="2" t="s">
        <v>12</v>
      </c>
      <c r="F42" s="36" t="s">
        <v>273</v>
      </c>
      <c r="G42" s="2" t="s">
        <v>429</v>
      </c>
    </row>
    <row r="43" spans="1:7">
      <c r="A43" s="39" t="s">
        <v>378</v>
      </c>
      <c r="B43" s="49" t="s">
        <v>214</v>
      </c>
      <c r="C43" s="2" t="s">
        <v>327</v>
      </c>
      <c r="D43" s="2">
        <v>42</v>
      </c>
      <c r="E43" s="2" t="s">
        <v>12</v>
      </c>
      <c r="F43" s="36" t="s">
        <v>274</v>
      </c>
      <c r="G43" s="36" t="s">
        <v>430</v>
      </c>
    </row>
    <row r="44" spans="1:7">
      <c r="A44" s="39" t="s">
        <v>379</v>
      </c>
      <c r="B44" s="49" t="s">
        <v>214</v>
      </c>
      <c r="C44" s="2" t="s">
        <v>328</v>
      </c>
      <c r="D44" s="2">
        <v>43</v>
      </c>
      <c r="E44" s="2" t="s">
        <v>12</v>
      </c>
      <c r="F44" s="36" t="s">
        <v>275</v>
      </c>
      <c r="G44" s="2" t="s">
        <v>431</v>
      </c>
    </row>
    <row r="45" spans="1:7">
      <c r="A45" s="39" t="s">
        <v>380</v>
      </c>
      <c r="B45" s="49" t="s">
        <v>441</v>
      </c>
      <c r="C45" s="2" t="s">
        <v>329</v>
      </c>
      <c r="D45" s="2">
        <v>44</v>
      </c>
      <c r="E45" s="2" t="s">
        <v>12</v>
      </c>
      <c r="F45" s="36" t="s">
        <v>276</v>
      </c>
      <c r="G45" s="2" t="s">
        <v>432</v>
      </c>
    </row>
    <row r="46" spans="1:7">
      <c r="A46" s="39" t="s">
        <v>381</v>
      </c>
      <c r="B46" s="49" t="s">
        <v>441</v>
      </c>
      <c r="C46" s="2" t="s">
        <v>330</v>
      </c>
      <c r="D46" s="2">
        <v>45</v>
      </c>
      <c r="E46" s="2" t="s">
        <v>12</v>
      </c>
      <c r="F46" s="36" t="s">
        <v>277</v>
      </c>
      <c r="G46" s="36" t="s">
        <v>433</v>
      </c>
    </row>
    <row r="47" spans="1:7">
      <c r="A47" s="39" t="s">
        <v>382</v>
      </c>
      <c r="B47" s="49" t="s">
        <v>441</v>
      </c>
      <c r="C47" s="37" t="s">
        <v>331</v>
      </c>
      <c r="D47" s="2">
        <v>46</v>
      </c>
      <c r="E47" s="2" t="s">
        <v>12</v>
      </c>
      <c r="F47" s="36" t="s">
        <v>278</v>
      </c>
      <c r="G47" s="36" t="s">
        <v>434</v>
      </c>
    </row>
    <row r="48" spans="1:7">
      <c r="A48" s="39" t="s">
        <v>383</v>
      </c>
      <c r="B48" s="49" t="s">
        <v>214</v>
      </c>
      <c r="C48" s="2" t="s">
        <v>332</v>
      </c>
      <c r="D48" s="2">
        <v>47</v>
      </c>
      <c r="E48" s="2" t="s">
        <v>12</v>
      </c>
      <c r="F48" s="36" t="s">
        <v>279</v>
      </c>
      <c r="G48" s="36" t="s">
        <v>435</v>
      </c>
    </row>
    <row r="49" spans="1:7">
      <c r="A49" s="39" t="s">
        <v>384</v>
      </c>
      <c r="B49" s="49" t="s">
        <v>214</v>
      </c>
      <c r="C49" s="2" t="s">
        <v>333</v>
      </c>
      <c r="D49" s="2">
        <v>48</v>
      </c>
      <c r="E49" s="2" t="s">
        <v>12</v>
      </c>
      <c r="F49" s="36" t="s">
        <v>280</v>
      </c>
      <c r="G49" s="36" t="s">
        <v>436</v>
      </c>
    </row>
    <row r="50" spans="1:7">
      <c r="A50" s="39" t="s">
        <v>385</v>
      </c>
      <c r="B50" s="49" t="s">
        <v>214</v>
      </c>
      <c r="C50" s="37" t="s">
        <v>334</v>
      </c>
      <c r="D50" s="2">
        <v>49</v>
      </c>
      <c r="E50" s="2" t="s">
        <v>12</v>
      </c>
      <c r="F50" s="36" t="s">
        <v>281</v>
      </c>
      <c r="G50" s="36" t="s">
        <v>437</v>
      </c>
    </row>
    <row r="51" spans="1:7">
      <c r="A51" s="39" t="s">
        <v>386</v>
      </c>
      <c r="B51" s="49" t="s">
        <v>214</v>
      </c>
      <c r="C51" s="37" t="s">
        <v>335</v>
      </c>
      <c r="D51" s="2">
        <v>50</v>
      </c>
      <c r="E51" s="2" t="s">
        <v>12</v>
      </c>
      <c r="F51" s="36" t="s">
        <v>282</v>
      </c>
      <c r="G51" s="36" t="s">
        <v>438</v>
      </c>
    </row>
    <row r="52" spans="1:7">
      <c r="A52" s="39" t="s">
        <v>387</v>
      </c>
      <c r="B52" s="49" t="s">
        <v>214</v>
      </c>
      <c r="C52" s="37" t="s">
        <v>336</v>
      </c>
      <c r="D52" s="2">
        <v>51</v>
      </c>
      <c r="E52" s="2" t="s">
        <v>12</v>
      </c>
      <c r="F52" s="36" t="s">
        <v>283</v>
      </c>
      <c r="G52" s="36" t="s">
        <v>439</v>
      </c>
    </row>
    <row r="53" spans="1:7">
      <c r="A53" s="39" t="s">
        <v>388</v>
      </c>
      <c r="B53" s="49" t="s">
        <v>441</v>
      </c>
      <c r="C53" s="37" t="s">
        <v>337</v>
      </c>
      <c r="D53" s="2">
        <v>52</v>
      </c>
      <c r="E53" s="2" t="s">
        <v>12</v>
      </c>
      <c r="F53" s="36" t="s">
        <v>284</v>
      </c>
      <c r="G53" s="36" t="s">
        <v>440</v>
      </c>
    </row>
  </sheetData>
  <autoFilter ref="C1:G1" xr:uid="{00000000-0009-0000-0000-000000000000}"/>
  <phoneticPr fontId="16" type="noConversion"/>
  <hyperlinks>
    <hyperlink ref="G33" r:id="rId1" display="Carinna.Tham@sg.ey.com" xr:uid="{00000000-0004-0000-0000-000000000000}"/>
    <hyperlink ref="G42" r:id="rId2" display="Shaun.Leong@sg.ey.com" xr:uid="{00000000-0004-0000-0000-000001000000}"/>
  </hyperlinks>
  <pageMargins left="0.7" right="0.7" top="0.75" bottom="0.75" header="0.3" footer="0.3"/>
  <pageSetup paperSize="9" scale="79" fitToHeight="0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BDD98-EC34-41B1-A679-4EC867CE65F7}">
  <sheetPr codeName="Sheet3">
    <tabColor rgb="FFFFFF00"/>
  </sheetPr>
  <dimension ref="B2:B181"/>
  <sheetViews>
    <sheetView workbookViewId="0">
      <selection activeCell="F30" sqref="F30"/>
    </sheetView>
  </sheetViews>
  <sheetFormatPr defaultRowHeight="14.4"/>
  <cols>
    <col min="2" max="2" width="15.77734375" customWidth="1"/>
  </cols>
  <sheetData>
    <row r="2" spans="2:2">
      <c r="B2" s="54" t="s">
        <v>21</v>
      </c>
    </row>
    <row r="3" spans="2:2">
      <c r="B3" s="59" t="s">
        <v>19</v>
      </c>
    </row>
    <row r="4" spans="2:2">
      <c r="B4" s="59" t="s">
        <v>120</v>
      </c>
    </row>
    <row r="5" spans="2:2">
      <c r="B5" s="59" t="s">
        <v>26</v>
      </c>
    </row>
    <row r="6" spans="2:2">
      <c r="B6" s="59" t="s">
        <v>23</v>
      </c>
    </row>
    <row r="7" spans="2:2">
      <c r="B7" s="59" t="s">
        <v>87</v>
      </c>
    </row>
    <row r="8" spans="2:2">
      <c r="B8" s="55" t="s">
        <v>178</v>
      </c>
    </row>
    <row r="9" spans="2:2">
      <c r="B9" s="55" t="s">
        <v>22</v>
      </c>
    </row>
    <row r="10" spans="2:2">
      <c r="B10" s="55" t="s">
        <v>24</v>
      </c>
    </row>
    <row r="11" spans="2:2">
      <c r="B11" s="55" t="s">
        <v>30</v>
      </c>
    </row>
    <row r="12" spans="2:2">
      <c r="B12" s="55" t="s">
        <v>70</v>
      </c>
    </row>
    <row r="13" spans="2:2">
      <c r="B13" s="55" t="s">
        <v>27</v>
      </c>
    </row>
    <row r="14" spans="2:2">
      <c r="B14" s="55" t="s">
        <v>29</v>
      </c>
    </row>
    <row r="15" spans="2:2">
      <c r="B15" s="55" t="s">
        <v>32</v>
      </c>
    </row>
    <row r="16" spans="2:2">
      <c r="B16" s="55" t="s">
        <v>31</v>
      </c>
    </row>
    <row r="17" spans="2:2">
      <c r="B17" s="55" t="s">
        <v>33</v>
      </c>
    </row>
    <row r="18" spans="2:2">
      <c r="B18" s="55" t="s">
        <v>46</v>
      </c>
    </row>
    <row r="19" spans="2:2">
      <c r="B19" s="55" t="s">
        <v>37</v>
      </c>
    </row>
    <row r="20" spans="2:2">
      <c r="B20" s="55" t="s">
        <v>36</v>
      </c>
    </row>
    <row r="21" spans="2:2">
      <c r="B21" s="55" t="s">
        <v>51</v>
      </c>
    </row>
    <row r="22" spans="2:2">
      <c r="B22" s="55" t="s">
        <v>35</v>
      </c>
    </row>
    <row r="23" spans="2:2">
      <c r="B23" s="55" t="s">
        <v>52</v>
      </c>
    </row>
    <row r="24" spans="2:2">
      <c r="B24" s="55" t="s">
        <v>41</v>
      </c>
    </row>
    <row r="25" spans="2:2">
      <c r="B25" s="55" t="s">
        <v>50</v>
      </c>
    </row>
    <row r="26" spans="2:2">
      <c r="B26" s="55" t="s">
        <v>44</v>
      </c>
    </row>
    <row r="27" spans="2:2">
      <c r="B27" s="55" t="s">
        <v>45</v>
      </c>
    </row>
    <row r="28" spans="2:2">
      <c r="B28" s="55" t="s">
        <v>49</v>
      </c>
    </row>
    <row r="29" spans="2:2">
      <c r="B29" s="55" t="s">
        <v>34</v>
      </c>
    </row>
    <row r="30" spans="2:2">
      <c r="B30" s="55" t="s">
        <v>43</v>
      </c>
    </row>
    <row r="31" spans="2:2">
      <c r="B31" s="55" t="s">
        <v>47</v>
      </c>
    </row>
    <row r="32" spans="2:2">
      <c r="B32" s="55" t="s">
        <v>38</v>
      </c>
    </row>
    <row r="33" spans="2:2">
      <c r="B33" s="55" t="s">
        <v>39</v>
      </c>
    </row>
    <row r="34" spans="2:2">
      <c r="B34" s="55" t="s">
        <v>56</v>
      </c>
    </row>
    <row r="35" spans="2:2">
      <c r="B35" s="55" t="s">
        <v>64</v>
      </c>
    </row>
    <row r="36" spans="2:2">
      <c r="B36" s="55" t="s">
        <v>164</v>
      </c>
    </row>
    <row r="37" spans="2:2">
      <c r="B37" s="55" t="s">
        <v>115</v>
      </c>
    </row>
    <row r="38" spans="2:2">
      <c r="B38" s="55" t="s">
        <v>165</v>
      </c>
    </row>
    <row r="39" spans="2:2">
      <c r="B39" s="55" t="s">
        <v>59</v>
      </c>
    </row>
    <row r="40" spans="2:2">
      <c r="B40" s="55" t="s">
        <v>58</v>
      </c>
    </row>
    <row r="41" spans="2:2">
      <c r="B41" s="55" t="s">
        <v>60</v>
      </c>
    </row>
    <row r="42" spans="2:2">
      <c r="B42" s="55" t="s">
        <v>61</v>
      </c>
    </row>
    <row r="43" spans="2:2">
      <c r="B43" s="55" t="s">
        <v>62</v>
      </c>
    </row>
    <row r="44" spans="2:2">
      <c r="B44" s="55" t="s">
        <v>66</v>
      </c>
    </row>
    <row r="45" spans="2:2">
      <c r="B45" s="55" t="s">
        <v>69</v>
      </c>
    </row>
    <row r="46" spans="2:2">
      <c r="B46" s="55" t="s">
        <v>68</v>
      </c>
    </row>
    <row r="47" spans="2:2">
      <c r="B47" s="55" t="s">
        <v>53</v>
      </c>
    </row>
    <row r="48" spans="2:2">
      <c r="B48" s="55" t="s">
        <v>71</v>
      </c>
    </row>
    <row r="49" spans="2:2">
      <c r="B49" s="55" t="s">
        <v>73</v>
      </c>
    </row>
    <row r="50" spans="2:2">
      <c r="B50" s="55" t="s">
        <v>72</v>
      </c>
    </row>
    <row r="51" spans="2:2">
      <c r="B51" s="55" t="s">
        <v>74</v>
      </c>
    </row>
    <row r="52" spans="2:2">
      <c r="B52" s="55" t="s">
        <v>25</v>
      </c>
    </row>
    <row r="53" spans="2:2">
      <c r="B53" s="55" t="s">
        <v>75</v>
      </c>
    </row>
    <row r="54" spans="2:2">
      <c r="B54" s="55" t="s">
        <v>77</v>
      </c>
    </row>
    <row r="55" spans="2:2">
      <c r="B55" s="55" t="s">
        <v>78</v>
      </c>
    </row>
    <row r="56" spans="2:2">
      <c r="B56" s="55" t="s">
        <v>80</v>
      </c>
    </row>
    <row r="57" spans="2:2">
      <c r="B57" s="55" t="s">
        <v>79</v>
      </c>
    </row>
    <row r="58" spans="2:2">
      <c r="B58" s="55" t="s">
        <v>83</v>
      </c>
    </row>
    <row r="59" spans="2:2">
      <c r="B59" s="55" t="s">
        <v>84</v>
      </c>
    </row>
    <row r="60" spans="2:2">
      <c r="B60" s="55" t="s">
        <v>85</v>
      </c>
    </row>
    <row r="61" spans="2:2">
      <c r="B61" s="55" t="s">
        <v>82</v>
      </c>
    </row>
    <row r="62" spans="2:2">
      <c r="B62" s="55" t="s">
        <v>88</v>
      </c>
    </row>
    <row r="63" spans="2:2">
      <c r="B63" s="55" t="s">
        <v>86</v>
      </c>
    </row>
    <row r="64" spans="2:2">
      <c r="B64" s="55" t="s">
        <v>89</v>
      </c>
    </row>
    <row r="65" spans="2:2">
      <c r="B65" s="55" t="s">
        <v>92</v>
      </c>
    </row>
    <row r="66" spans="2:2">
      <c r="B66" s="55" t="s">
        <v>91</v>
      </c>
    </row>
    <row r="67" spans="2:2">
      <c r="B67" s="55" t="s">
        <v>67</v>
      </c>
    </row>
    <row r="68" spans="2:2">
      <c r="B68" s="55" t="s">
        <v>90</v>
      </c>
    </row>
    <row r="69" spans="2:2">
      <c r="B69" s="55" t="s">
        <v>93</v>
      </c>
    </row>
    <row r="70" spans="2:2">
      <c r="B70" s="55" t="s">
        <v>95</v>
      </c>
    </row>
    <row r="71" spans="2:2">
      <c r="B71" s="55" t="s">
        <v>99</v>
      </c>
    </row>
    <row r="72" spans="2:2">
      <c r="B72" s="55" t="s">
        <v>42</v>
      </c>
    </row>
    <row r="73" spans="2:2">
      <c r="B73" s="55" t="s">
        <v>98</v>
      </c>
    </row>
    <row r="74" spans="2:2">
      <c r="B74" s="55" t="s">
        <v>97</v>
      </c>
    </row>
    <row r="75" spans="2:2">
      <c r="B75" s="55" t="s">
        <v>94</v>
      </c>
    </row>
    <row r="76" spans="2:2">
      <c r="B76" s="55" t="s">
        <v>100</v>
      </c>
    </row>
    <row r="77" spans="2:2">
      <c r="B77" s="55" t="s">
        <v>102</v>
      </c>
    </row>
    <row r="78" spans="2:2">
      <c r="B78" s="55" t="s">
        <v>101</v>
      </c>
    </row>
    <row r="79" spans="2:2">
      <c r="B79" s="55" t="s">
        <v>104</v>
      </c>
    </row>
    <row r="80" spans="2:2">
      <c r="B80" s="55" t="s">
        <v>108</v>
      </c>
    </row>
    <row r="81" spans="2:2">
      <c r="B81" s="55" t="s">
        <v>54</v>
      </c>
    </row>
    <row r="82" spans="2:2">
      <c r="B82" s="55" t="s">
        <v>63</v>
      </c>
    </row>
    <row r="83" spans="2:2">
      <c r="B83" s="55" t="s">
        <v>105</v>
      </c>
    </row>
    <row r="84" spans="2:2">
      <c r="B84" s="55" t="s">
        <v>106</v>
      </c>
    </row>
    <row r="85" spans="2:2">
      <c r="B85" s="55" t="s">
        <v>107</v>
      </c>
    </row>
    <row r="86" spans="2:2">
      <c r="B86" s="55" t="s">
        <v>57</v>
      </c>
    </row>
    <row r="87" spans="2:2">
      <c r="B87" s="55" t="s">
        <v>103</v>
      </c>
    </row>
    <row r="88" spans="2:2">
      <c r="B88" s="55" t="s">
        <v>109</v>
      </c>
    </row>
    <row r="89" spans="2:2">
      <c r="B89" s="55" t="s">
        <v>110</v>
      </c>
    </row>
    <row r="90" spans="2:2">
      <c r="B90" s="55" t="s">
        <v>159</v>
      </c>
    </row>
    <row r="91" spans="2:2">
      <c r="B91" s="55" t="s">
        <v>113</v>
      </c>
    </row>
    <row r="92" spans="2:2">
      <c r="B92" s="55" t="s">
        <v>111</v>
      </c>
    </row>
    <row r="93" spans="2:2">
      <c r="B93" s="55" t="s">
        <v>114</v>
      </c>
    </row>
    <row r="94" spans="2:2">
      <c r="B94" s="55" t="s">
        <v>129</v>
      </c>
    </row>
    <row r="95" spans="2:2">
      <c r="B95" s="55" t="s">
        <v>127</v>
      </c>
    </row>
    <row r="96" spans="2:2">
      <c r="B96" s="55" t="s">
        <v>118</v>
      </c>
    </row>
    <row r="97" spans="2:2">
      <c r="B97" s="55" t="s">
        <v>117</v>
      </c>
    </row>
    <row r="98" spans="2:2">
      <c r="B98" s="55" t="s">
        <v>131</v>
      </c>
    </row>
    <row r="99" spans="2:2">
      <c r="B99" s="55" t="s">
        <v>128</v>
      </c>
    </row>
    <row r="100" spans="2:2">
      <c r="B100" s="55" t="s">
        <v>116</v>
      </c>
    </row>
    <row r="101" spans="2:2">
      <c r="B101" s="55" t="s">
        <v>122</v>
      </c>
    </row>
    <row r="102" spans="2:2">
      <c r="B102" s="55" t="s">
        <v>123</v>
      </c>
    </row>
    <row r="103" spans="2:2">
      <c r="B103" s="55" t="s">
        <v>121</v>
      </c>
    </row>
    <row r="104" spans="2:2">
      <c r="B104" s="55" t="s">
        <v>119</v>
      </c>
    </row>
    <row r="105" spans="2:2">
      <c r="B105" s="55" t="s">
        <v>125</v>
      </c>
    </row>
    <row r="106" spans="2:2">
      <c r="B106" s="55" t="s">
        <v>126</v>
      </c>
    </row>
    <row r="107" spans="2:2">
      <c r="B107" s="55" t="s">
        <v>130</v>
      </c>
    </row>
    <row r="108" spans="2:2">
      <c r="B108" s="55" t="s">
        <v>132</v>
      </c>
    </row>
    <row r="109" spans="2:2">
      <c r="B109" s="55" t="s">
        <v>135</v>
      </c>
    </row>
    <row r="110" spans="2:2">
      <c r="B110" s="55" t="s">
        <v>134</v>
      </c>
    </row>
    <row r="111" spans="2:2">
      <c r="B111" s="55" t="s">
        <v>48</v>
      </c>
    </row>
    <row r="112" spans="2:2">
      <c r="B112" s="55" t="s">
        <v>133</v>
      </c>
    </row>
    <row r="113" spans="2:2">
      <c r="B113" s="55" t="s">
        <v>65</v>
      </c>
    </row>
    <row r="114" spans="2:2">
      <c r="B114" s="55" t="s">
        <v>136</v>
      </c>
    </row>
    <row r="115" spans="2:2">
      <c r="B115" s="55" t="s">
        <v>138</v>
      </c>
    </row>
    <row r="116" spans="2:2">
      <c r="B116" s="55" t="s">
        <v>141</v>
      </c>
    </row>
    <row r="117" spans="2:2">
      <c r="B117" s="55" t="s">
        <v>139</v>
      </c>
    </row>
    <row r="118" spans="2:2">
      <c r="B118" s="55" t="s">
        <v>142</v>
      </c>
    </row>
    <row r="119" spans="2:2">
      <c r="B119" s="55" t="s">
        <v>137</v>
      </c>
    </row>
    <row r="120" spans="2:2">
      <c r="B120" s="55" t="s">
        <v>143</v>
      </c>
    </row>
    <row r="121" spans="2:2">
      <c r="B121" s="55" t="s">
        <v>140</v>
      </c>
    </row>
    <row r="122" spans="2:2">
      <c r="B122" s="55" t="s">
        <v>144</v>
      </c>
    </row>
    <row r="123" spans="2:2">
      <c r="B123" s="55" t="s">
        <v>145</v>
      </c>
    </row>
    <row r="124" spans="2:2">
      <c r="B124" s="55" t="s">
        <v>152</v>
      </c>
    </row>
    <row r="125" spans="2:2">
      <c r="B125" s="55" t="s">
        <v>146</v>
      </c>
    </row>
    <row r="126" spans="2:2">
      <c r="B126" s="55" t="s">
        <v>147</v>
      </c>
    </row>
    <row r="127" spans="2:2">
      <c r="B127" s="55" t="s">
        <v>151</v>
      </c>
    </row>
    <row r="128" spans="2:2">
      <c r="B128" s="55" t="s">
        <v>156</v>
      </c>
    </row>
    <row r="129" spans="2:2">
      <c r="B129" s="55" t="s">
        <v>153</v>
      </c>
    </row>
    <row r="130" spans="2:2">
      <c r="B130" s="55" t="s">
        <v>160</v>
      </c>
    </row>
    <row r="131" spans="2:2">
      <c r="B131" s="55" t="s">
        <v>163</v>
      </c>
    </row>
    <row r="132" spans="2:2">
      <c r="B132" s="57" t="s">
        <v>148</v>
      </c>
    </row>
    <row r="133" spans="2:2">
      <c r="B133" s="55" t="s">
        <v>154</v>
      </c>
    </row>
    <row r="134" spans="2:2">
      <c r="B134" s="55" t="s">
        <v>157</v>
      </c>
    </row>
    <row r="135" spans="2:2">
      <c r="B135" s="55" t="s">
        <v>161</v>
      </c>
    </row>
    <row r="136" spans="2:2">
      <c r="B136" s="55" t="s">
        <v>158</v>
      </c>
    </row>
    <row r="137" spans="2:2">
      <c r="B137" s="55" t="s">
        <v>150</v>
      </c>
    </row>
    <row r="138" spans="2:2">
      <c r="B138" s="55" t="s">
        <v>76</v>
      </c>
    </row>
    <row r="139" spans="2:2">
      <c r="B139" s="55" t="s">
        <v>166</v>
      </c>
    </row>
    <row r="140" spans="2:2">
      <c r="B140" s="55" t="s">
        <v>162</v>
      </c>
    </row>
    <row r="141" spans="2:2">
      <c r="B141" s="55" t="s">
        <v>170</v>
      </c>
    </row>
    <row r="142" spans="2:2">
      <c r="B142" s="55" t="s">
        <v>168</v>
      </c>
    </row>
    <row r="143" spans="2:2">
      <c r="B143" s="55" t="s">
        <v>175</v>
      </c>
    </row>
    <row r="144" spans="2:2">
      <c r="B144" s="55" t="s">
        <v>173</v>
      </c>
    </row>
    <row r="145" spans="2:2">
      <c r="B145" s="55" t="s">
        <v>171</v>
      </c>
    </row>
    <row r="146" spans="2:2">
      <c r="B146" s="55" t="s">
        <v>174</v>
      </c>
    </row>
    <row r="147" spans="2:2">
      <c r="B147" s="55" t="s">
        <v>172</v>
      </c>
    </row>
    <row r="148" spans="2:2">
      <c r="B148" s="55" t="s">
        <v>167</v>
      </c>
    </row>
    <row r="149" spans="2:2">
      <c r="B149" s="55" t="s">
        <v>169</v>
      </c>
    </row>
    <row r="150" spans="2:2">
      <c r="B150" s="55" t="s">
        <v>177</v>
      </c>
    </row>
    <row r="151" spans="2:2">
      <c r="B151" s="55" t="s">
        <v>176</v>
      </c>
    </row>
    <row r="152" spans="2:2">
      <c r="B152" s="55" t="s">
        <v>179</v>
      </c>
    </row>
    <row r="153" spans="2:2">
      <c r="B153" s="55" t="s">
        <v>181</v>
      </c>
    </row>
    <row r="154" spans="2:2">
      <c r="B154" s="55" t="s">
        <v>180</v>
      </c>
    </row>
    <row r="155" spans="2:2">
      <c r="B155" s="55" t="s">
        <v>182</v>
      </c>
    </row>
    <row r="156" spans="2:2">
      <c r="B156" s="55" t="s">
        <v>183</v>
      </c>
    </row>
    <row r="157" spans="2:2">
      <c r="B157" s="55" t="s">
        <v>185</v>
      </c>
    </row>
    <row r="158" spans="2:2">
      <c r="B158" s="55" t="s">
        <v>186</v>
      </c>
    </row>
    <row r="159" spans="2:2">
      <c r="B159" s="55" t="s">
        <v>184</v>
      </c>
    </row>
    <row r="160" spans="2:2">
      <c r="B160" s="55" t="s">
        <v>149</v>
      </c>
    </row>
    <row r="161" spans="2:2">
      <c r="B161" s="55" t="s">
        <v>55</v>
      </c>
    </row>
    <row r="162" spans="2:2">
      <c r="B162" s="55" t="s">
        <v>199</v>
      </c>
    </row>
    <row r="163" spans="2:2">
      <c r="B163" s="55" t="s">
        <v>196</v>
      </c>
    </row>
    <row r="164" spans="2:2">
      <c r="B164" s="55" t="s">
        <v>190</v>
      </c>
    </row>
    <row r="165" spans="2:2">
      <c r="B165" s="55" t="s">
        <v>191</v>
      </c>
    </row>
    <row r="166" spans="2:2">
      <c r="B166" s="55" t="s">
        <v>192</v>
      </c>
    </row>
    <row r="167" spans="2:2">
      <c r="B167" s="55" t="s">
        <v>193</v>
      </c>
    </row>
    <row r="168" spans="2:2">
      <c r="B168" s="55" t="s">
        <v>28</v>
      </c>
    </row>
    <row r="169" spans="2:2">
      <c r="B169" s="55" t="s">
        <v>96</v>
      </c>
    </row>
    <row r="170" spans="2:2">
      <c r="B170" s="55" t="s">
        <v>40</v>
      </c>
    </row>
    <row r="171" spans="2:2">
      <c r="B171" s="58" t="s">
        <v>197</v>
      </c>
    </row>
    <row r="172" spans="2:2">
      <c r="B172" s="56" t="s">
        <v>81</v>
      </c>
    </row>
    <row r="173" spans="2:2">
      <c r="B173" s="55" t="s">
        <v>198</v>
      </c>
    </row>
    <row r="174" spans="2:2">
      <c r="B174" s="55" t="s">
        <v>155</v>
      </c>
    </row>
    <row r="175" spans="2:2">
      <c r="B175" s="55" t="s">
        <v>194</v>
      </c>
    </row>
    <row r="176" spans="2:2">
      <c r="B176" s="55" t="s">
        <v>124</v>
      </c>
    </row>
    <row r="177" spans="2:2">
      <c r="B177" s="55" t="s">
        <v>195</v>
      </c>
    </row>
    <row r="178" spans="2:2">
      <c r="B178" s="55" t="s">
        <v>187</v>
      </c>
    </row>
    <row r="179" spans="2:2">
      <c r="B179" s="55" t="s">
        <v>112</v>
      </c>
    </row>
    <row r="180" spans="2:2">
      <c r="B180" s="55" t="s">
        <v>188</v>
      </c>
    </row>
    <row r="181" spans="2:2">
      <c r="B181" s="55" t="s">
        <v>189</v>
      </c>
    </row>
  </sheetData>
  <autoFilter ref="B2:B181" xr:uid="{7B4ECD10-E4F5-49F0-9046-108DCD22613C}">
    <sortState xmlns:xlrd2="http://schemas.microsoft.com/office/spreadsheetml/2017/richdata2" ref="B3:B181">
      <sortCondition ref="B2:B181"/>
    </sortState>
  </autoFilter>
  <conditionalFormatting sqref="B1:B1048576">
    <cfRule type="duplicateValues" dxfId="0" priority="4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Admin</vt:lpstr>
      <vt:lpstr>Normal_Engagement Letter</vt:lpstr>
      <vt:lpstr>Special_Engagement Letter</vt:lpstr>
      <vt:lpstr>Engagement Team</vt:lpstr>
      <vt:lpstr>Currencies</vt:lpstr>
      <vt:lpstr>'Engagement Team'!Print_Area</vt:lpstr>
    </vt:vector>
  </TitlesOfParts>
  <Company>Ernst &amp; Young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Zhi Ying Chow</dc:creator>
  <cp:lastModifiedBy>kuanw</cp:lastModifiedBy>
  <cp:lastPrinted>2019-11-26T10:33:29Z</cp:lastPrinted>
  <dcterms:created xsi:type="dcterms:W3CDTF">2017-06-02T00:26:43Z</dcterms:created>
  <dcterms:modified xsi:type="dcterms:W3CDTF">2020-02-25T09:08:37Z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cd77e7e0-ac9d-4dc6-8723-23649616df2b</vt:lpwstr>
  </property>
</Properties>
</file>